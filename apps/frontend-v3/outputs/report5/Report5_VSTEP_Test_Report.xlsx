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Register" sheetId="4" state="visible" r:id="rId4"/>
    <sheet xmlns:r="http://schemas.openxmlformats.org/officeDocument/2006/relationships" name="Login" sheetId="5" state="visible" r:id="rId5"/>
    <sheet xmlns:r="http://schemas.openxmlformats.org/officeDocument/2006/relationships" name="Google Auth" sheetId="6" state="visible" r:id="rId6"/>
    <sheet xmlns:r="http://schemas.openxmlformats.org/officeDocument/2006/relationships" name="Session" sheetId="7" state="visible" r:id="rId7"/>
    <sheet xmlns:r="http://schemas.openxmlformats.org/officeDocument/2006/relationships" name="Profile" sheetId="8" state="visible" r:id="rId8"/>
    <sheet xmlns:r="http://schemas.openxmlformats.org/officeDocument/2006/relationships" name="Vocabulary" sheetId="9" state="visible" r:id="rId9"/>
    <sheet xmlns:r="http://schemas.openxmlformats.org/officeDocument/2006/relationships" name="Grammar" sheetId="10" state="visible" r:id="rId10"/>
    <sheet xmlns:r="http://schemas.openxmlformats.org/officeDocument/2006/relationships" name="Listening" sheetId="11" state="visible" r:id="rId11"/>
    <sheet xmlns:r="http://schemas.openxmlformats.org/officeDocument/2006/relationships" name="Reading" sheetId="12" state="visible" r:id="rId12"/>
    <sheet xmlns:r="http://schemas.openxmlformats.org/officeDocument/2006/relationships" name="Writing" sheetId="13" state="visible" r:id="rId13"/>
    <sheet xmlns:r="http://schemas.openxmlformats.org/officeDocument/2006/relationships" name="Speaking Drills" sheetId="14" state="visible" r:id="rId14"/>
    <sheet xmlns:r="http://schemas.openxmlformats.org/officeDocument/2006/relationships" name="VSTEP Speaking" sheetId="15" state="visible" r:id="rId15"/>
    <sheet xmlns:r="http://schemas.openxmlformats.org/officeDocument/2006/relationships" name="Conversation AI" sheetId="16" state="visible" r:id="rId16"/>
    <sheet xmlns:r="http://schemas.openxmlformats.org/officeDocument/2006/relationships" name="Shadowing" sheetId="17" state="visible" r:id="rId17"/>
    <sheet xmlns:r="http://schemas.openxmlformats.org/officeDocument/2006/relationships" name="Exam Library" sheetId="18" state="visible" r:id="rId18"/>
    <sheet xmlns:r="http://schemas.openxmlformats.org/officeDocument/2006/relationships" name="Exam Start" sheetId="19" state="visible" r:id="rId19"/>
    <sheet xmlns:r="http://schemas.openxmlformats.org/officeDocument/2006/relationships" name="Exam Draft" sheetId="20" state="visible" r:id="rId20"/>
    <sheet xmlns:r="http://schemas.openxmlformats.org/officeDocument/2006/relationships" name="Exam Panels" sheetId="21" state="visible" r:id="rId21"/>
    <sheet xmlns:r="http://schemas.openxmlformats.org/officeDocument/2006/relationships" name="Exam Submit" sheetId="22" state="visible" r:id="rId22"/>
    <sheet xmlns:r="http://schemas.openxmlformats.org/officeDocument/2006/relationships" name="Exam Result" sheetId="23" state="visible" r:id="rId23"/>
    <sheet xmlns:r="http://schemas.openxmlformats.org/officeDocument/2006/relationships" name="Wallet Balance" sheetId="24" state="visible" r:id="rId24"/>
    <sheet xmlns:r="http://schemas.openxmlformats.org/officeDocument/2006/relationships" name="Top-up" sheetId="25" state="visible" r:id="rId25"/>
    <sheet xmlns:r="http://schemas.openxmlformats.org/officeDocument/2006/relationships" name="Promo Redeem" sheetId="26" state="visible" r:id="rId26"/>
    <sheet xmlns:r="http://schemas.openxmlformats.org/officeDocument/2006/relationships" name="Dashboard" sheetId="27" state="visible" r:id="rId27"/>
    <sheet xmlns:r="http://schemas.openxmlformats.org/officeDocument/2006/relationships" name="Course Enroll" sheetId="28" state="visible" r:id="rId28"/>
    <sheet xmlns:r="http://schemas.openxmlformats.org/officeDocument/2006/relationships" name="Booking" sheetId="29" state="visible" r:id="rId29"/>
    <sheet xmlns:r="http://schemas.openxmlformats.org/officeDocument/2006/relationships" name="Admin Dashboard" sheetId="30" state="visible" r:id="rId30"/>
    <sheet xmlns:r="http://schemas.openxmlformats.org/officeDocument/2006/relationships" name="Admin Vocab Grammar" sheetId="31" state="visible" r:id="rId31"/>
    <sheet xmlns:r="http://schemas.openxmlformats.org/officeDocument/2006/relationships" name="Admin Settings" sheetId="32" state="visible" r:id="rId32"/>
    <sheet xmlns:r="http://schemas.openxmlformats.org/officeDocument/2006/relationships" name="Admin Exams" sheetId="33" state="visible" r:id="rId33"/>
    <sheet xmlns:r="http://schemas.openxmlformats.org/officeDocument/2006/relationships" name="Admin Practice" sheetId="34" state="visible" r:id="rId34"/>
    <sheet xmlns:r="http://schemas.openxmlformats.org/officeDocument/2006/relationships" name="Admin Users" sheetId="35" state="visible" r:id="rId35"/>
    <sheet xmlns:r="http://schemas.openxmlformats.org/officeDocument/2006/relationships" name="Admin Courses" sheetId="36" state="visible" r:id="rId36"/>
    <sheet xmlns:r="http://schemas.openxmlformats.org/officeDocument/2006/relationships" name="Teacher" sheetId="37" state="visible" r:id="rId37"/>
    <sheet xmlns:r="http://schemas.openxmlformats.org/officeDocument/2006/relationships" name="Grading AI" sheetId="38" state="visible" r:id="rId38"/>
    <sheet xmlns:r="http://schemas.openxmlformats.org/officeDocument/2006/relationships" name="System" sheetId="39" state="visible" r:id="rId39"/>
    <sheet xmlns:r="http://schemas.openxmlformats.org/officeDocument/2006/relationships" name="Non-functional" sheetId="40" state="visible" r:id="rId40"/>
  </sheets>
  <externalReferences>
    <externalReference xmlns:r="http://schemas.openxmlformats.org/officeDocument/2006/relationships" r:id="rId41"/>
  </externalReferences>
  <definedNames>
    <definedName name="ACTION">#REF!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d\-mmm\-yy"/>
    <numFmt numFmtId="166" formatCode="d/m/yyyy"/>
    <numFmt numFmtId="167" formatCode="yyyy-mm-dd h:mm:ss"/>
  </numFmts>
  <fonts count="26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rgb="FFFF0000"/>
      <sz val="26"/>
    </font>
    <font>
      <name val="Tahoma"/>
      <b val="1"/>
      <color rgb="FF000000"/>
      <sz val="20"/>
    </font>
    <font/>
    <font>
      <name val="Tahoma"/>
      <b val="1"/>
      <color rgb="FF993300"/>
      <sz val="10"/>
    </font>
    <font>
      <name val="Tahoma"/>
      <i val="1"/>
      <color rgb="FF008000"/>
      <sz val="10"/>
    </font>
    <font>
      <name val="Tahoma"/>
      <b val="1"/>
      <color theme="1"/>
      <sz val="10"/>
    </font>
    <font>
      <name val="Tahoma"/>
      <i val="1"/>
      <color theme="1"/>
      <sz val="10"/>
    </font>
    <font>
      <name val="Tahoma"/>
      <b val="1"/>
      <color rgb="FFFFFFFF"/>
      <sz val="10"/>
    </font>
    <font>
      <name val="Tahoma"/>
      <i val="1"/>
      <color theme="1"/>
      <sz val="11"/>
    </font>
    <font>
      <name val="Tahoma"/>
      <color theme="1"/>
      <sz val="11"/>
    </font>
    <font>
      <name val="Tahoma"/>
      <b val="1"/>
      <color rgb="FF000000"/>
      <sz val="10"/>
    </font>
    <font>
      <name val="Tahoma"/>
      <b val="1"/>
      <color rgb="FFFF0000"/>
      <sz val="10"/>
    </font>
    <font>
      <name val="Tahoma"/>
      <color rgb="FF0000FF"/>
      <sz val="10"/>
      <u val="single"/>
    </font>
    <font>
      <name val="Tahoma"/>
      <color rgb="FF0000FF"/>
      <sz val="10"/>
      <u val="single"/>
    </font>
    <font>
      <name val="Tahoma"/>
      <color rgb="FF0000FF"/>
      <sz val="10"/>
      <u val="single"/>
    </font>
    <font>
      <name val="Tahoma"/>
      <color rgb="FF0000FF"/>
      <sz val="10"/>
      <u val="single"/>
    </font>
    <font>
      <name val="Tahoma"/>
      <color rgb="FF0000FF"/>
      <sz val="10"/>
      <u val="single"/>
    </font>
    <font>
      <name val="Tahoma"/>
      <color rgb="FF0000FF"/>
      <sz val="10"/>
      <u val="single"/>
    </font>
    <font>
      <name val="Tahoma"/>
      <color rgb="FFFFFFFF"/>
      <sz val="10"/>
    </font>
    <font>
      <name val="Tahoma"/>
      <b val="1"/>
      <color rgb="FF0000FF"/>
      <sz val="10"/>
    </font>
    <font>
      <name val="Tahoma"/>
      <color rgb="FF000000"/>
      <sz val="10"/>
    </font>
    <font>
      <name val="Tahoma"/>
      <color rgb="FFFF0000"/>
      <sz val="10"/>
    </font>
    <font>
      <name val="Tahoma"/>
      <b val="1"/>
      <i val="1"/>
      <color theme="1"/>
      <sz val="10"/>
    </font>
    <font>
      <name val="Tahoma"/>
      <i val="1"/>
      <color rgb="FF000000"/>
      <sz val="10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5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19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" fillId="2" borderId="4" pivotButton="0" quotePrefix="0" xfId="0"/>
    <xf numFmtId="0" fontId="7" fillId="2" borderId="5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1" fillId="0" borderId="3" pivotButton="0" quotePrefix="0" xfId="0"/>
    <xf numFmtId="164" fontId="8" fillId="0" borderId="3" applyAlignment="1" pivotButton="0" quotePrefix="0" xfId="0">
      <alignment horizontal="left"/>
    </xf>
    <xf numFmtId="0" fontId="7" fillId="2" borderId="5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8" fillId="0" borderId="3" applyAlignment="1" pivotButton="0" quotePrefix="0" xfId="0">
      <alignment horizontal="left"/>
    </xf>
    <xf numFmtId="0" fontId="7" fillId="0" borderId="0" pivotButton="0" quotePrefix="0" xfId="0"/>
    <xf numFmtId="0" fontId="5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65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65" fontId="10" fillId="0" borderId="9" applyAlignment="1" pivotButton="0" quotePrefix="0" xfId="0">
      <alignment horizontal="right" vertical="top"/>
    </xf>
    <xf numFmtId="49" fontId="11" fillId="0" borderId="10" applyAlignment="1" pivotButton="0" quotePrefix="0" xfId="0">
      <alignment vertical="top"/>
    </xf>
    <xf numFmtId="0" fontId="11" fillId="0" borderId="10" applyAlignment="1" pivotButton="0" quotePrefix="0" xfId="0">
      <alignment vertical="top"/>
    </xf>
    <xf numFmtId="0" fontId="11" fillId="0" borderId="10" applyAlignment="1" pivotButton="0" quotePrefix="0" xfId="0">
      <alignment horizontal="center" vertical="top"/>
    </xf>
    <xf numFmtId="15" fontId="11" fillId="0" borderId="10" applyAlignment="1" pivotButton="0" quotePrefix="0" xfId="0">
      <alignment vertical="top"/>
    </xf>
    <xf numFmtId="0" fontId="10" fillId="0" borderId="11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65" fontId="10" fillId="0" borderId="9" applyAlignment="1" pivotButton="0" quotePrefix="0" xfId="0">
      <alignment horizontal="right" vertical="top"/>
    </xf>
    <xf numFmtId="165" fontId="1" fillId="0" borderId="9" applyAlignment="1" pivotButton="0" quotePrefix="0" xfId="0">
      <alignment vertical="top"/>
    </xf>
    <xf numFmtId="49" fontId="1" fillId="0" borderId="10" applyAlignment="1" pivotButton="0" quotePrefix="0" xfId="0">
      <alignment vertical="top"/>
    </xf>
    <xf numFmtId="0" fontId="1" fillId="0" borderId="10" applyAlignment="1" pivotButton="0" quotePrefix="0" xfId="0">
      <alignment vertical="top"/>
    </xf>
    <xf numFmtId="0" fontId="1" fillId="0" borderId="11" applyAlignment="1" pivotButton="0" quotePrefix="0" xfId="0">
      <alignment vertical="top"/>
    </xf>
    <xf numFmtId="165" fontId="1" fillId="0" borderId="12" applyAlignment="1" pivotButton="0" quotePrefix="0" xfId="0">
      <alignment vertical="top"/>
    </xf>
    <xf numFmtId="49" fontId="1" fillId="0" borderId="13" applyAlignment="1" pivotButton="0" quotePrefix="0" xfId="0">
      <alignment vertical="top"/>
    </xf>
    <xf numFmtId="0" fontId="1" fillId="0" borderId="13" applyAlignment="1" pivotButton="0" quotePrefix="0" xfId="0">
      <alignment vertical="top"/>
    </xf>
    <xf numFmtId="0" fontId="1" fillId="0" borderId="14" applyAlignment="1" pivotButton="0" quotePrefix="0" xfId="0">
      <alignment vertical="top"/>
    </xf>
    <xf numFmtId="1" fontId="1" fillId="2" borderId="4" pivotButton="0" quotePrefix="0" xfId="0"/>
    <xf numFmtId="0" fontId="1" fillId="2" borderId="4" applyAlignment="1" pivotButton="0" quotePrefix="0" xfId="0">
      <alignment horizontal="left"/>
    </xf>
    <xf numFmtId="0" fontId="3" fillId="2" borderId="4" applyAlignment="1" pivotButton="0" quotePrefix="0" xfId="0">
      <alignment horizontal="left"/>
    </xf>
    <xf numFmtId="0" fontId="12" fillId="2" borderId="4" applyAlignment="1" pivotButton="0" quotePrefix="0" xfId="0">
      <alignment horizontal="left"/>
    </xf>
    <xf numFmtId="0" fontId="13" fillId="2" borderId="4" applyAlignment="1" pivotButton="0" quotePrefix="0" xfId="0">
      <alignment horizontal="left"/>
    </xf>
    <xf numFmtId="1" fontId="5" fillId="2" borderId="1" pivotButton="0" quotePrefix="0" xfId="0"/>
    <xf numFmtId="0" fontId="4" fillId="0" borderId="15" pivotButton="0" quotePrefix="0" xfId="0"/>
    <xf numFmtId="0" fontId="6" fillId="2" borderId="1" applyAlignment="1" pivotButton="0" quotePrefix="0" xfId="0">
      <alignment horizontal="left"/>
    </xf>
    <xf numFmtId="0" fontId="1" fillId="2" borderId="4" applyAlignment="1" pivotButton="0" quotePrefix="0" xfId="0">
      <alignment wrapText="1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4" pivotButton="0" quotePrefix="0" xfId="0"/>
    <xf numFmtId="0" fontId="1" fillId="2" borderId="4" applyAlignment="1" pivotButton="0" quotePrefix="0" xfId="0">
      <alignment vertical="center"/>
    </xf>
    <xf numFmtId="1" fontId="1" fillId="2" borderId="4" applyAlignment="1" pivotButton="0" quotePrefix="0" xfId="0">
      <alignment vertical="center"/>
    </xf>
    <xf numFmtId="0" fontId="1" fillId="2" borderId="4" applyAlignment="1" pivotButton="0" quotePrefix="0" xfId="0">
      <alignment horizontal="left" vertical="center"/>
    </xf>
    <xf numFmtId="0" fontId="7" fillId="2" borderId="4" applyAlignment="1" pivotButton="0" quotePrefix="0" xfId="0">
      <alignment horizontal="center"/>
    </xf>
    <xf numFmtId="1" fontId="9" fillId="4" borderId="6" applyAlignment="1" pivotButton="0" quotePrefix="0" xfId="0">
      <alignment horizontal="center" vertical="center"/>
    </xf>
    <xf numFmtId="0" fontId="9" fillId="4" borderId="7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0" fontId="9" fillId="4" borderId="8" applyAlignment="1" pivotButton="0" quotePrefix="0" xfId="0">
      <alignment horizontal="center" vertical="center"/>
    </xf>
    <xf numFmtId="1" fontId="1" fillId="2" borderId="9" applyAlignment="1" pivotButton="0" quotePrefix="0" xfId="0">
      <alignment horizontal="center" vertical="center"/>
    </xf>
    <xf numFmtId="49" fontId="1" fillId="2" borderId="10" applyAlignment="1" pivotButton="0" quotePrefix="0" xfId="0">
      <alignment horizontal="left" vertical="center"/>
    </xf>
    <xf numFmtId="0" fontId="14" fillId="2" borderId="10" applyAlignment="1" pivotButton="0" quotePrefix="0" xfId="0">
      <alignment horizontal="left" vertical="center"/>
    </xf>
    <xf numFmtId="0" fontId="15" fillId="2" borderId="10" applyAlignment="1" pivotButton="0" quotePrefix="0" xfId="0">
      <alignment horizontal="left" vertical="center"/>
    </xf>
    <xf numFmtId="0" fontId="1" fillId="2" borderId="11" applyAlignment="1" pivotButton="0" quotePrefix="0" xfId="0">
      <alignment horizontal="left" vertical="center"/>
    </xf>
    <xf numFmtId="0" fontId="16" fillId="2" borderId="10" applyAlignment="1" pivotButton="0" quotePrefix="0" xfId="0">
      <alignment horizontal="left" vertical="center"/>
    </xf>
    <xf numFmtId="0" fontId="1" fillId="2" borderId="10" applyAlignment="1" pivotButton="0" quotePrefix="0" xfId="0">
      <alignment horizontal="left" vertical="center"/>
    </xf>
    <xf numFmtId="49" fontId="1" fillId="2" borderId="17" applyAlignment="1" pivotButton="0" quotePrefix="0" xfId="0">
      <alignment horizontal="left" vertical="center"/>
    </xf>
    <xf numFmtId="0" fontId="17" fillId="2" borderId="17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1" fillId="2" borderId="18" applyAlignment="1" pivotButton="0" quotePrefix="0" xfId="0">
      <alignment horizontal="left" vertical="center"/>
    </xf>
    <xf numFmtId="0" fontId="18" fillId="2" borderId="17" applyAlignment="1" pivotButton="0" quotePrefix="0" xfId="0">
      <alignment horizontal="left" vertical="center"/>
    </xf>
    <xf numFmtId="0" fontId="19" fillId="2" borderId="13" applyAlignment="1" pivotButton="0" quotePrefix="0" xfId="0">
      <alignment horizontal="left" vertical="center"/>
    </xf>
    <xf numFmtId="0" fontId="1" fillId="2" borderId="13" applyAlignment="1" pivotButton="0" quotePrefix="0" xfId="0">
      <alignment horizontal="left" vertical="center"/>
    </xf>
    <xf numFmtId="0" fontId="1" fillId="2" borderId="14" applyAlignment="1" pivotButton="0" quotePrefix="0" xfId="0">
      <alignment horizontal="left" vertical="center"/>
    </xf>
    <xf numFmtId="1" fontId="1" fillId="2" borderId="0" pivotButton="0" quotePrefix="0" xfId="0"/>
    <xf numFmtId="0" fontId="1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center"/>
    </xf>
    <xf numFmtId="0" fontId="4" fillId="0" borderId="20" pivotButton="0" quotePrefix="0" xfId="0"/>
    <xf numFmtId="0" fontId="4" fillId="0" borderId="21" pivotButton="0" quotePrefix="0" xfId="0"/>
    <xf numFmtId="0" fontId="7" fillId="2" borderId="4" pivotButton="0" quotePrefix="0" xfId="0"/>
    <xf numFmtId="165" fontId="1" fillId="2" borderId="4" pivotButton="0" quotePrefix="0" xfId="0"/>
    <xf numFmtId="0" fontId="5" fillId="2" borderId="5" applyAlignment="1" pivotButton="0" quotePrefix="0" xfId="0">
      <alignment horizontal="left" vertical="center"/>
    </xf>
    <xf numFmtId="0" fontId="5" fillId="2" borderId="1" applyAlignment="1" pivotButton="0" quotePrefix="0" xfId="0">
      <alignment horizontal="left"/>
    </xf>
    <xf numFmtId="0" fontId="5" fillId="2" borderId="22" applyAlignment="1" pivotButton="0" quotePrefix="0" xfId="0">
      <alignment horizontal="left"/>
    </xf>
    <xf numFmtId="0" fontId="1" fillId="2" borderId="22" applyAlignment="1" pivotButton="0" quotePrefix="0" xfId="0">
      <alignment vertical="top"/>
    </xf>
    <xf numFmtId="0" fontId="5" fillId="2" borderId="5" applyAlignment="1" pivotButton="0" quotePrefix="0" xfId="0">
      <alignment vertical="center"/>
    </xf>
    <xf numFmtId="0" fontId="6" fillId="2" borderId="1" applyAlignment="1" pivotButton="0" quotePrefix="0" xfId="0">
      <alignment horizontal="left"/>
    </xf>
    <xf numFmtId="164" fontId="6" fillId="2" borderId="22" applyAlignment="1" pivotButton="0" quotePrefix="0" xfId="0">
      <alignment horizontal="left" vertical="top"/>
    </xf>
    <xf numFmtId="0" fontId="6" fillId="2" borderId="1" applyAlignment="1" pivotButton="0" quotePrefix="0" xfId="0">
      <alignment vertical="top"/>
    </xf>
    <xf numFmtId="0" fontId="5" fillId="2" borderId="4" pivotButton="0" quotePrefix="0" xfId="0"/>
    <xf numFmtId="0" fontId="6" fillId="2" borderId="4" pivotButton="0" quotePrefix="0" xfId="0"/>
    <xf numFmtId="0" fontId="1" fillId="2" borderId="23" pivotButton="0" quotePrefix="0" xfId="0"/>
    <xf numFmtId="0" fontId="9" fillId="3" borderId="24" applyAlignment="1" pivotButton="0" quotePrefix="0" xfId="0">
      <alignment horizontal="center"/>
    </xf>
    <xf numFmtId="0" fontId="9" fillId="3" borderId="7" applyAlignment="1" pivotButton="0" quotePrefix="0" xfId="0">
      <alignment horizontal="center"/>
    </xf>
    <xf numFmtId="0" fontId="9" fillId="3" borderId="7" applyAlignment="1" pivotButton="0" quotePrefix="0" xfId="0">
      <alignment horizontal="center" wrapText="1"/>
    </xf>
    <xf numFmtId="0" fontId="9" fillId="3" borderId="16" applyAlignment="1" pivotButton="0" quotePrefix="0" xfId="0">
      <alignment horizontal="center"/>
    </xf>
    <xf numFmtId="0" fontId="9" fillId="3" borderId="25" applyAlignment="1" pivotButton="0" quotePrefix="0" xfId="0">
      <alignment horizontal="center" wrapText="1"/>
    </xf>
    <xf numFmtId="0" fontId="1" fillId="2" borderId="19" pivotButton="0" quotePrefix="0" xfId="0"/>
    <xf numFmtId="0" fontId="1" fillId="2" borderId="26" applyAlignment="1" pivotButton="0" quotePrefix="0" xfId="0">
      <alignment horizontal="center"/>
    </xf>
    <xf numFmtId="0" fontId="1" fillId="2" borderId="10" pivotButton="0" quotePrefix="0" xfId="0"/>
    <xf numFmtId="0" fontId="1" fillId="2" borderId="10" applyAlignment="1" pivotButton="0" quotePrefix="0" xfId="0">
      <alignment horizontal="center"/>
    </xf>
    <xf numFmtId="0" fontId="1" fillId="2" borderId="27" applyAlignment="1" pivotButton="0" quotePrefix="0" xfId="0">
      <alignment horizontal="center"/>
    </xf>
    <xf numFmtId="0" fontId="1" fillId="2" borderId="21" pivotButton="0" quotePrefix="0" xfId="0"/>
    <xf numFmtId="0" fontId="1" fillId="2" borderId="17" pivotButton="0" quotePrefix="0" xfId="0"/>
    <xf numFmtId="0" fontId="1" fillId="2" borderId="17" applyAlignment="1" pivotButton="0" quotePrefix="0" xfId="0">
      <alignment horizontal="center"/>
    </xf>
    <xf numFmtId="0" fontId="1" fillId="2" borderId="17" pivotButton="0" quotePrefix="0" xfId="0"/>
    <xf numFmtId="0" fontId="1" fillId="2" borderId="17" applyAlignment="1" pivotButton="0" quotePrefix="0" xfId="0">
      <alignment horizontal="center"/>
    </xf>
    <xf numFmtId="0" fontId="1" fillId="2" borderId="27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20" fillId="3" borderId="29" applyAlignment="1" pivotButton="0" quotePrefix="0" xfId="0">
      <alignment horizontal="center"/>
    </xf>
    <xf numFmtId="0" fontId="9" fillId="3" borderId="13" pivotButton="0" quotePrefix="0" xfId="0"/>
    <xf numFmtId="0" fontId="20" fillId="3" borderId="13" applyAlignment="1" pivotButton="0" quotePrefix="0" xfId="0">
      <alignment horizontal="center"/>
    </xf>
    <xf numFmtId="0" fontId="20" fillId="3" borderId="30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0" fontId="1" fillId="2" borderId="4" applyAlignment="1" pivotButton="0" quotePrefix="0" xfId="0">
      <alignment horizontal="center"/>
    </xf>
    <xf numFmtId="9" fontId="1" fillId="2" borderId="4" applyAlignment="1" pivotButton="0" quotePrefix="0" xfId="0">
      <alignment horizontal="center"/>
    </xf>
    <xf numFmtId="2" fontId="21" fillId="2" borderId="4" applyAlignment="1" pivotButton="0" quotePrefix="0" xfId="0">
      <alignment horizontal="right" wrapText="1"/>
    </xf>
    <xf numFmtId="0" fontId="22" fillId="2" borderId="4" applyAlignment="1" pivotButton="0" quotePrefix="0" xfId="0">
      <alignment horizontal="center" wrapText="1"/>
    </xf>
    <xf numFmtId="0" fontId="23" fillId="2" borderId="4" pivotButton="0" quotePrefix="0" xfId="0"/>
    <xf numFmtId="0" fontId="7" fillId="2" borderId="31" applyAlignment="1" pivotButton="0" quotePrefix="0" xfId="0">
      <alignment horizontal="center" vertical="top" wrapText="1"/>
    </xf>
    <xf numFmtId="0" fontId="1" fillId="2" borderId="32" applyAlignment="1" pivotButton="0" quotePrefix="0" xfId="0">
      <alignment horizontal="left" vertical="top" wrapText="1"/>
    </xf>
    <xf numFmtId="0" fontId="4" fillId="0" borderId="33" pivotButton="0" quotePrefix="0" xfId="0"/>
    <xf numFmtId="0" fontId="4" fillId="0" borderId="34" pivotButton="0" quotePrefix="0" xfId="0"/>
    <xf numFmtId="0" fontId="6" fillId="2" borderId="4" applyAlignment="1" pivotButton="0" quotePrefix="0" xfId="0">
      <alignment wrapText="1"/>
    </xf>
    <xf numFmtId="0" fontId="6" fillId="2" borderId="4" applyAlignment="1" pivotButton="0" quotePrefix="0" xfId="0">
      <alignment horizontal="left" wrapText="1"/>
    </xf>
    <xf numFmtId="0" fontId="23" fillId="2" borderId="4" applyAlignment="1" pivotButton="0" quotePrefix="0" xfId="0">
      <alignment wrapText="1"/>
    </xf>
    <xf numFmtId="0" fontId="22" fillId="2" borderId="4" pivotButton="0" quotePrefix="0" xfId="0"/>
    <xf numFmtId="0" fontId="7" fillId="2" borderId="35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left" vertical="top" wrapText="1"/>
    </xf>
    <xf numFmtId="0" fontId="4" fillId="0" borderId="36" pivotButton="0" quotePrefix="0" xfId="0"/>
    <xf numFmtId="0" fontId="1" fillId="2" borderId="1" applyAlignment="1" pivotButton="0" quotePrefix="0" xfId="0">
      <alignment horizontal="left" vertical="top" wrapText="1"/>
    </xf>
    <xf numFmtId="0" fontId="24" fillId="2" borderId="35" applyAlignment="1" pivotButton="0" quotePrefix="0" xfId="0">
      <alignment horizontal="center" vertical="top" wrapText="1"/>
    </xf>
    <xf numFmtId="0" fontId="24" fillId="2" borderId="5" applyAlignment="1" pivotButton="0" quotePrefix="0" xfId="0">
      <alignment horizontal="center" vertical="top" wrapText="1"/>
    </xf>
    <xf numFmtId="0" fontId="24" fillId="2" borderId="37" applyAlignment="1" pivotButton="0" quotePrefix="0" xfId="0">
      <alignment horizontal="center" vertical="top" wrapText="1"/>
    </xf>
    <xf numFmtId="0" fontId="12" fillId="2" borderId="4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wrapText="1"/>
    </xf>
    <xf numFmtId="0" fontId="23" fillId="2" borderId="4" applyAlignment="1" pivotButton="0" quotePrefix="0" xfId="0">
      <alignment horizontal="center" wrapText="1"/>
    </xf>
    <xf numFmtId="0" fontId="1" fillId="2" borderId="5" applyAlignment="1" pivotButton="0" quotePrefix="0" xfId="0">
      <alignment horizontal="center" vertical="top" wrapText="1"/>
    </xf>
    <xf numFmtId="0" fontId="1" fillId="2" borderId="37" applyAlignment="1" pivotButton="0" quotePrefix="0" xfId="0">
      <alignment horizontal="center" vertical="top" wrapText="1"/>
    </xf>
    <xf numFmtId="0" fontId="22" fillId="2" borderId="4" applyAlignment="1" pivotButton="0" quotePrefix="0" xfId="0">
      <alignment horizontal="center" vertical="center" wrapText="1"/>
    </xf>
    <xf numFmtId="0" fontId="24" fillId="2" borderId="38" applyAlignment="1" pivotButton="0" quotePrefix="0" xfId="0">
      <alignment horizontal="center" vertical="top" wrapText="1"/>
    </xf>
    <xf numFmtId="0" fontId="1" fillId="2" borderId="39" applyAlignment="1" pivotButton="0" quotePrefix="0" xfId="0">
      <alignment horizontal="center" vertical="top" wrapText="1"/>
    </xf>
    <xf numFmtId="0" fontId="1" fillId="2" borderId="40" applyAlignment="1" pivotButton="0" quotePrefix="0" xfId="0">
      <alignment horizontal="center" vertical="top" wrapText="1"/>
    </xf>
    <xf numFmtId="0" fontId="9" fillId="5" borderId="5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7" fillId="6" borderId="41" applyAlignment="1" pivotButton="0" quotePrefix="0" xfId="0">
      <alignment horizontal="left" vertical="center"/>
    </xf>
    <xf numFmtId="0" fontId="7" fillId="6" borderId="41" applyAlignment="1" pivotButton="0" quotePrefix="0" xfId="0">
      <alignment horizontal="left" vertical="center"/>
    </xf>
    <xf numFmtId="0" fontId="7" fillId="6" borderId="42" applyAlignment="1" pivotButton="0" quotePrefix="0" xfId="0">
      <alignment horizontal="left" vertical="center"/>
    </xf>
    <xf numFmtId="0" fontId="7" fillId="6" borderId="43" applyAlignment="1" pivotButton="0" quotePrefix="0" xfId="0">
      <alignment horizontal="left" vertical="center"/>
    </xf>
    <xf numFmtId="0" fontId="13" fillId="2" borderId="4" applyAlignment="1" pivotButton="0" quotePrefix="0" xfId="0">
      <alignment horizontal="left" vertical="center"/>
    </xf>
    <xf numFmtId="0" fontId="1" fillId="2" borderId="5" applyAlignment="1" pivotButton="0" quotePrefix="0" xfId="0">
      <alignment vertical="top" wrapText="1"/>
    </xf>
    <xf numFmtId="0" fontId="22" fillId="2" borderId="5" applyAlignment="1" pivotButton="0" quotePrefix="0" xfId="0">
      <alignment vertical="top" wrapText="1"/>
    </xf>
    <xf numFmtId="0" fontId="22" fillId="2" borderId="5" applyAlignment="1" pivotButton="0" quotePrefix="0" xfId="0">
      <alignment horizontal="left" vertical="top" wrapText="1"/>
    </xf>
    <xf numFmtId="0" fontId="6" fillId="2" borderId="5" applyAlignment="1" pivotButton="0" quotePrefix="0" xfId="0">
      <alignment horizontal="left" vertical="top" wrapText="1"/>
    </xf>
    <xf numFmtId="166" fontId="1" fillId="2" borderId="5" applyAlignment="1" pivotButton="0" quotePrefix="0" xfId="0">
      <alignment vertical="top" wrapText="1"/>
    </xf>
    <xf numFmtId="0" fontId="1" fillId="2" borderId="5" applyAlignment="1" pivotButton="0" quotePrefix="0" xfId="0">
      <alignment vertical="top" wrapText="1"/>
    </xf>
    <xf numFmtId="0" fontId="22" fillId="2" borderId="4" applyAlignment="1" pivotButton="0" quotePrefix="0" xfId="0">
      <alignment vertical="top"/>
    </xf>
    <xf numFmtId="0" fontId="23" fillId="2" borderId="4" applyAlignment="1" pivotButton="0" quotePrefix="0" xfId="0">
      <alignment vertical="top" wrapText="1"/>
    </xf>
    <xf numFmtId="0" fontId="22" fillId="2" borderId="5" applyAlignment="1" pivotButton="0" quotePrefix="0" xfId="0">
      <alignment horizontal="left" vertical="top" wrapText="1"/>
    </xf>
    <xf numFmtId="0" fontId="22" fillId="2" borderId="5" applyAlignment="1" pivotButton="0" quotePrefix="0" xfId="0">
      <alignment horizontal="left" vertical="top" wrapText="1"/>
    </xf>
    <xf numFmtId="0" fontId="6" fillId="2" borderId="5" applyAlignment="1" pivotButton="0" quotePrefix="0" xfId="0">
      <alignment horizontal="left" vertical="top" wrapText="1"/>
    </xf>
    <xf numFmtId="0" fontId="1" fillId="2" borderId="5" pivotButton="0" quotePrefix="0" xfId="0"/>
    <xf numFmtId="0" fontId="1" fillId="2" borderId="5" pivotButton="0" quotePrefix="0" xfId="0"/>
    <xf numFmtId="0" fontId="1" fillId="2" borderId="44" pivotButton="0" quotePrefix="0" xfId="0"/>
    <xf numFmtId="164" fontId="1" fillId="2" borderId="5" applyAlignment="1" pivotButton="0" quotePrefix="0" xfId="0">
      <alignment vertical="top" wrapText="1"/>
    </xf>
    <xf numFmtId="0" fontId="25" fillId="2" borderId="5" applyAlignment="1" pivotButton="0" quotePrefix="0" xfId="0">
      <alignment vertical="top" wrapText="1"/>
    </xf>
    <xf numFmtId="0" fontId="22" fillId="2" borderId="5" applyAlignment="1" pivotButton="0" quotePrefix="0" xfId="0">
      <alignment vertical="top" wrapText="1"/>
    </xf>
    <xf numFmtId="0" fontId="1" fillId="2" borderId="4" pivotButton="0" quotePrefix="0" xfId="0"/>
    <xf numFmtId="167" fontId="0" fillId="0" borderId="0" pivotButton="0" quotePrefix="0" xfId="0"/>
    <xf numFmtId="0" fontId="0" fillId="0" borderId="0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0" borderId="5" applyAlignment="1" pivotButton="0" quotePrefix="0" xfId="0">
      <alignment horizontal="left"/>
    </xf>
    <xf numFmtId="0" fontId="8" fillId="0" borderId="5" applyAlignment="1" pivotButton="0" quotePrefix="0" xfId="0">
      <alignment horizontal="left" vertical="center"/>
    </xf>
    <xf numFmtId="1" fontId="5" fillId="2" borderId="47" pivotButton="0" quotePrefix="0" xfId="0"/>
    <xf numFmtId="0" fontId="6" fillId="2" borderId="5" applyAlignment="1" pivotButton="0" quotePrefix="0" xfId="0">
      <alignment horizontal="left"/>
    </xf>
    <xf numFmtId="1" fontId="5" fillId="2" borderId="5" applyAlignment="1" pivotButton="0" quotePrefix="0" xfId="0">
      <alignment vertical="center" wrapText="1"/>
    </xf>
    <xf numFmtId="0" fontId="6" fillId="2" borderId="5" applyAlignment="1" pivotButton="0" quotePrefix="0" xfId="0">
      <alignment vertical="top" wrapText="1"/>
    </xf>
    <xf numFmtId="0" fontId="19" fillId="2" borderId="10" applyAlignment="1" pivotButton="0" quotePrefix="0" xfId="0">
      <alignment horizontal="left" vertical="center"/>
    </xf>
    <xf numFmtId="0" fontId="19" fillId="2" borderId="17" applyAlignment="1" pivotButton="0" quotePrefix="0" xfId="0">
      <alignment horizontal="left" vertical="center"/>
    </xf>
    <xf numFmtId="0" fontId="3" fillId="2" borderId="4" applyAlignment="1" pivotButton="0" quotePrefix="0" xfId="0">
      <alignment horizontal="center"/>
    </xf>
    <xf numFmtId="0" fontId="5" fillId="2" borderId="5" applyAlignment="1" pivotButton="0" quotePrefix="0" xfId="0">
      <alignment horizontal="left"/>
    </xf>
    <xf numFmtId="0" fontId="6" fillId="2" borderId="5" applyAlignment="1" pivotButton="0" quotePrefix="0" xfId="0">
      <alignment vertical="top"/>
    </xf>
    <xf numFmtId="0" fontId="1" fillId="2" borderId="48" applyAlignment="1" pivotButton="0" quotePrefix="0" xfId="0">
      <alignment horizontal="left" vertical="top" wrapText="1"/>
    </xf>
    <xf numFmtId="0" fontId="0" fillId="0" borderId="33" pivotButton="0" quotePrefix="0" xfId="0"/>
    <xf numFmtId="0" fontId="0" fillId="0" borderId="34" pivotButton="0" quotePrefix="0" xfId="0"/>
    <xf numFmtId="0" fontId="1" fillId="2" borderId="37" applyAlignment="1" pivotButton="0" quotePrefix="0" xfId="0">
      <alignment horizontal="left" vertical="top" wrapText="1"/>
    </xf>
    <xf numFmtId="0" fontId="0" fillId="0" borderId="3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externalLink" Target="/xl/externalLinks/externalLink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Report5_Unit%20Tes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"/>
      <sheetName val="Cover"/>
      <sheetName val="Function List"/>
      <sheetName val="Test Report"/>
      <sheetName val="Function 1"/>
      <sheetName val="Function 2"/>
      <sheetName val="Function3"/>
      <sheetName val="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8.13" customWidth="1" style="171" min="1" max="1"/>
    <col width="10" customWidth="1" style="171" min="2" max="2"/>
    <col width="14.38" customWidth="1" style="171" min="3" max="3"/>
    <col width="8" customWidth="1" style="171" min="4" max="4"/>
    <col width="38" customWidth="1" style="171" min="5" max="5"/>
    <col width="48.13" customWidth="1" style="171" min="6" max="6"/>
    <col width="9" customWidth="1" style="171" min="7" max="7"/>
  </cols>
  <sheetData>
    <row r="1" ht="12.75" customHeight="1" s="17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75.75" customHeight="1" s="171">
      <c r="A2" s="3" t="n"/>
      <c r="B2" s="172" t="inlineStr">
        <is>
          <t>TEST REPORT DOCUMENT</t>
        </is>
      </c>
      <c r="C2" s="173" t="n"/>
      <c r="D2" s="173" t="n"/>
      <c r="E2" s="173" t="n"/>
      <c r="F2" s="174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2.75" customHeight="1" s="171">
      <c r="A3" s="8" t="n"/>
      <c r="B3" s="9" t="n"/>
      <c r="C3" s="2" t="n"/>
      <c r="D3" s="2" t="n"/>
      <c r="E3" s="169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171">
      <c r="A4" s="11" t="n"/>
      <c r="B4" s="175" t="inlineStr">
        <is>
          <t>An Adaptive VSTEP Preparation System</t>
        </is>
      </c>
      <c r="C4" s="173" t="n"/>
      <c r="D4" s="174" t="n"/>
      <c r="E4" s="11" t="inlineStr">
        <is>
          <t>Creator</t>
        </is>
      </c>
      <c r="F4" s="13" t="inlineStr">
        <is>
          <t>Hoàng Văn Anh Nghĩa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171">
      <c r="A5" s="11" t="n"/>
      <c r="B5" s="175" t="inlineStr">
        <is>
          <t>SP26SE145</t>
        </is>
      </c>
      <c r="C5" s="173" t="n"/>
      <c r="D5" s="174" t="n"/>
      <c r="E5" s="11" t="n"/>
      <c r="F5" s="14" t="n">
        <v>46150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71">
      <c r="A6" s="15" t="n"/>
      <c r="B6" s="176" t="inlineStr">
        <is>
          <t>SP26SE145_001_v1.2</t>
        </is>
      </c>
      <c r="C6" s="173" t="n"/>
      <c r="D6" s="174" t="n"/>
      <c r="E6" s="11" t="n"/>
      <c r="F6" s="17" t="inlineStr">
        <is>
          <t>1.2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 s="171">
      <c r="A7" s="18" t="n"/>
      <c r="B7" s="9" t="n"/>
      <c r="C7" s="2" t="n"/>
      <c r="D7" s="2" t="n"/>
      <c r="E7" s="19" t="n"/>
      <c r="F7" s="9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 s="17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 s="171">
      <c r="A9" s="20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2.75" customHeight="1" s="171">
      <c r="A10" s="21" t="inlineStr">
        <is>
          <t>Effective Date</t>
        </is>
      </c>
      <c r="B10" s="22" t="inlineStr">
        <is>
          <t>Version</t>
        </is>
      </c>
      <c r="C10" s="22" t="inlineStr">
        <is>
          <t>Change Item</t>
        </is>
      </c>
      <c r="D10" s="22" t="inlineStr">
        <is>
          <t>*A,D,M</t>
        </is>
      </c>
      <c r="E10" s="22" t="inlineStr">
        <is>
          <t>Change description</t>
        </is>
      </c>
      <c r="F10" s="23" t="inlineStr">
        <is>
          <t>Reference</t>
        </is>
      </c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6.25" customHeight="1" s="171">
      <c r="A11" s="32" t="n">
        <v>46150</v>
      </c>
      <c r="B11" s="26" t="inlineStr">
        <is>
          <t>1.1</t>
        </is>
      </c>
      <c r="C11" s="27" t="inlineStr">
        <is>
          <t>New document</t>
        </is>
      </c>
      <c r="D11" s="28" t="inlineStr">
        <is>
          <t>A</t>
        </is>
      </c>
      <c r="E11" s="29" t="inlineStr">
        <is>
          <t>Create VSTEP test report</t>
        </is>
      </c>
      <c r="F11" s="30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</row>
    <row r="12" ht="21.75" customHeight="1" s="171">
      <c r="A12" s="32" t="n">
        <v>46172</v>
      </c>
      <c r="B12" s="26" t="inlineStr">
        <is>
          <t>1.2</t>
        </is>
      </c>
      <c r="C12" s="27" t="inlineStr">
        <is>
          <t>Final</t>
        </is>
      </c>
      <c r="D12" s="28" t="inlineStr">
        <is>
          <t>M</t>
        </is>
      </c>
      <c r="E12" s="27" t="inlineStr">
        <is>
          <t>Filter to 215 cases, match repository implementation</t>
        </is>
      </c>
      <c r="F12" s="30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.38" customWidth="1" style="171" min="1" max="1"/>
    <col width="11.88" customWidth="1" style="171" min="2" max="2"/>
    <col width="32" customWidth="1" style="171" min="3" max="3"/>
    <col width="30.63" customWidth="1" style="171" min="4" max="4"/>
    <col width="55" customWidth="1" style="171" min="5" max="5"/>
    <col width="40" customWidth="1" style="171" min="6" max="6"/>
  </cols>
  <sheetData>
    <row r="1" ht="12.75" customHeight="1" s="171">
      <c r="A1" s="169" t="n"/>
      <c r="B1" s="41" t="n"/>
      <c r="C1" s="42" t="n"/>
      <c r="D1" s="43" t="inlineStr">
        <is>
          <t>TEST CASE LIST</t>
        </is>
      </c>
      <c r="E1" s="44" t="n"/>
      <c r="F1" s="42" t="n"/>
    </row>
    <row r="2" ht="13.5" customHeight="1" s="171">
      <c r="A2" s="169" t="n"/>
      <c r="B2" s="41" t="n"/>
      <c r="C2" s="42" t="n"/>
      <c r="D2" s="45" t="n"/>
      <c r="E2" s="45" t="n"/>
      <c r="F2" s="42" t="n"/>
    </row>
    <row r="3" ht="12.75" customHeight="1" s="171">
      <c r="A3" s="169" t="n"/>
      <c r="B3" s="177" t="inlineStr">
        <is>
          <t>Project Name</t>
        </is>
      </c>
      <c r="C3" s="173" t="n"/>
      <c r="D3" s="178" t="inlineStr">
        <is>
          <t>An Adaptive VSTEP Preparation System</t>
        </is>
      </c>
      <c r="E3" s="173" t="n"/>
      <c r="F3" s="174" t="n"/>
    </row>
    <row r="4" ht="12.75" customHeight="1" s="171">
      <c r="A4" s="169" t="n"/>
      <c r="B4" s="177" t="inlineStr">
        <is>
          <t>Project Code</t>
        </is>
      </c>
      <c r="C4" s="173" t="n"/>
      <c r="D4" s="178" t="inlineStr">
        <is>
          <t>SP26SE145</t>
        </is>
      </c>
      <c r="E4" s="173" t="n"/>
      <c r="F4" s="174" t="n"/>
    </row>
    <row r="5" ht="84.75" customHeight="1" s="171">
      <c r="A5" s="49" t="n"/>
      <c r="B5" s="179" t="inlineStr">
        <is>
          <t>Test Environment Setup Description</t>
        </is>
      </c>
      <c r="C5" s="174" t="n"/>
      <c r="D5" s="180" t="inlineStr">
        <is>
          <t>1. Backend-v2 API + PostgreSQL
2. Frontend-v3 learner web
3. Admin web app
4. Mobile-v2 app
5. AI grading + SSE + wallet/payment</t>
        </is>
      </c>
      <c r="E5" s="173" t="n"/>
      <c r="F5" s="174" t="n"/>
    </row>
    <row r="6" ht="12.75" customHeight="1" s="171">
      <c r="A6" s="169" t="n"/>
      <c r="B6" s="52" t="n"/>
      <c r="C6" s="169" t="n"/>
      <c r="D6" s="169" t="n"/>
      <c r="E6" s="169" t="n"/>
      <c r="F6" s="169" t="n"/>
    </row>
    <row r="7" ht="12.75" customHeight="1" s="171">
      <c r="A7" s="53" t="n"/>
      <c r="B7" s="54" t="n"/>
      <c r="C7" s="55" t="n"/>
      <c r="D7" s="55" t="n"/>
      <c r="E7" s="55" t="n"/>
      <c r="F7" s="55" t="n"/>
    </row>
    <row r="8" ht="21" customHeight="1" s="171">
      <c r="A8" s="56" t="n"/>
      <c r="B8" s="57" t="inlineStr">
        <is>
          <t>No</t>
        </is>
      </c>
      <c r="C8" s="58" t="inlineStr">
        <is>
          <t>Function Name</t>
        </is>
      </c>
      <c r="D8" s="58" t="inlineStr">
        <is>
          <t>Sheet Name</t>
        </is>
      </c>
      <c r="E8" s="59" t="inlineStr">
        <is>
          <t>Description</t>
        </is>
      </c>
      <c r="F8" s="60" t="inlineStr">
        <is>
          <t>Pre-Condition</t>
        </is>
      </c>
    </row>
    <row r="9" ht="12.75" customHeight="1" s="171">
      <c r="A9" s="169" t="n"/>
      <c r="B9" s="61" t="n">
        <v>1</v>
      </c>
      <c r="C9" s="62" t="inlineStr">
        <is>
          <t>Register</t>
        </is>
      </c>
      <c r="D9" s="181" t="inlineStr">
        <is>
          <t>Register</t>
        </is>
      </c>
      <c r="E9" s="181" t="inlineStr">
        <is>
          <t>Register learner with email, onboarding data</t>
        </is>
      </c>
      <c r="F9" s="65" t="inlineStr">
        <is>
          <t>Valid Guest account/data exists</t>
        </is>
      </c>
    </row>
    <row r="10" ht="12.75" customHeight="1" s="171">
      <c r="A10" s="169" t="n"/>
      <c r="B10" s="61" t="n">
        <v>2</v>
      </c>
      <c r="C10" s="62" t="inlineStr">
        <is>
          <t>Login</t>
        </is>
      </c>
      <c r="D10" s="181" t="inlineStr">
        <is>
          <t>Login</t>
        </is>
      </c>
      <c r="E10" s="181" t="inlineStr">
        <is>
          <t>Login with email/password, session, redirect</t>
        </is>
      </c>
      <c r="F10" s="65" t="inlineStr">
        <is>
          <t>Valid Learner account/data exists</t>
        </is>
      </c>
    </row>
    <row r="11">
      <c r="A11" s="169" t="n"/>
      <c r="B11" s="61" t="n">
        <v>3</v>
      </c>
      <c r="C11" s="62" t="inlineStr">
        <is>
          <t>Google Login</t>
        </is>
      </c>
      <c r="D11" s="181" t="inlineStr">
        <is>
          <t>Google Auth</t>
        </is>
      </c>
      <c r="E11" s="181" t="inlineStr">
        <is>
          <t>Google Sign-In integration</t>
        </is>
      </c>
      <c r="F11" s="65" t="inlineStr">
        <is>
          <t>Valid Learner account/data exists</t>
        </is>
      </c>
    </row>
    <row r="12">
      <c r="A12" s="169" t="n"/>
      <c r="B12" s="61" t="n">
        <v>4</v>
      </c>
      <c r="C12" s="62" t="inlineStr">
        <is>
          <t>Session &amp; Refresh</t>
        </is>
      </c>
      <c r="D12" s="181" t="inlineStr">
        <is>
          <t>Session</t>
        </is>
      </c>
      <c r="E12" s="181" t="inlineStr">
        <is>
          <t>Token refresh, logout, lifecycle</t>
        </is>
      </c>
      <c r="F12" s="65" t="inlineStr">
        <is>
          <t>Valid Learner account/data exists</t>
        </is>
      </c>
    </row>
    <row r="13">
      <c r="A13" s="169" t="n"/>
      <c r="B13" s="61" t="n">
        <v>5</v>
      </c>
      <c r="C13" s="62" t="inlineStr">
        <is>
          <t>Profile CRUD</t>
        </is>
      </c>
      <c r="D13" s="181" t="inlineStr">
        <is>
          <t>Profile</t>
        </is>
      </c>
      <c r="E13" s="181" t="inlineStr">
        <is>
          <t>List, create, switch, update, onboarding</t>
        </is>
      </c>
      <c r="F13" s="65" t="inlineStr">
        <is>
          <t>Valid Learner account/data exists</t>
        </is>
      </c>
    </row>
    <row r="14">
      <c r="A14" s="169" t="n"/>
      <c r="B14" s="61" t="n">
        <v>6</v>
      </c>
      <c r="C14" s="62" t="inlineStr">
        <is>
          <t>Vocabulary &amp; SRS</t>
        </is>
      </c>
      <c r="D14" s="181" t="inlineStr">
        <is>
          <t>Vocabulary</t>
        </is>
      </c>
      <c r="E14" s="67" t="inlineStr">
        <is>
          <t>Topic list, detail, exercises, SRS review</t>
        </is>
      </c>
      <c r="F14" s="65" t="inlineStr">
        <is>
          <t>Valid Learner account/data exists</t>
        </is>
      </c>
    </row>
    <row r="15">
      <c r="A15" s="169" t="n"/>
      <c r="B15" s="61" t="n">
        <v>7</v>
      </c>
      <c r="C15" s="62" t="inlineStr">
        <is>
          <t>Grammar Points</t>
        </is>
      </c>
      <c r="D15" s="181" t="inlineStr">
        <is>
          <t>Grammar</t>
        </is>
      </c>
      <c r="E15" s="67" t="inlineStr">
        <is>
          <t>Point list, detail, exercise flow</t>
        </is>
      </c>
      <c r="F15" s="65" t="inlineStr">
        <is>
          <t>Valid Learner account/data exists</t>
        </is>
      </c>
    </row>
    <row r="16">
      <c r="A16" s="169" t="n"/>
      <c r="B16" s="61" t="n">
        <v>8</v>
      </c>
      <c r="C16" s="62" t="inlineStr">
        <is>
          <t>Listening Practice</t>
        </is>
      </c>
      <c r="D16" s="181" t="inlineStr">
        <is>
          <t>Listening</t>
        </is>
      </c>
      <c r="E16" s="67" t="inlineStr">
        <is>
          <t>Exercise list, audio, answer, results</t>
        </is>
      </c>
      <c r="F16" s="65" t="inlineStr">
        <is>
          <t>Valid Learner account/data exists</t>
        </is>
      </c>
    </row>
    <row r="17">
      <c r="A17" s="169" t="n"/>
      <c r="B17" s="61" t="n">
        <v>9</v>
      </c>
      <c r="C17" s="62" t="inlineStr">
        <is>
          <t>Reading Practice</t>
        </is>
      </c>
      <c r="D17" s="181" t="inlineStr">
        <is>
          <t>Reading</t>
        </is>
      </c>
      <c r="E17" s="67" t="inlineStr">
        <is>
          <t>Exercise list, passage, questions, results</t>
        </is>
      </c>
      <c r="F17" s="65" t="inlineStr">
        <is>
          <t>Valid Learner account/data exists</t>
        </is>
      </c>
    </row>
    <row r="18">
      <c r="A18" s="169" t="n"/>
      <c r="B18" s="61" t="n">
        <v>10</v>
      </c>
      <c r="C18" s="62" t="inlineStr">
        <is>
          <t>Writing Practice</t>
        </is>
      </c>
      <c r="D18" s="181" t="inlineStr">
        <is>
          <t>Writing</t>
        </is>
      </c>
      <c r="E18" s="67" t="inlineStr">
        <is>
          <t>Prompt, editor, submit, AI feedback, SSE</t>
        </is>
      </c>
      <c r="F18" s="65" t="inlineStr">
        <is>
          <t>Valid Learner account/data exists</t>
        </is>
      </c>
    </row>
    <row r="19">
      <c r="A19" s="169" t="n"/>
      <c r="B19" s="61" t="n">
        <v>11</v>
      </c>
      <c r="C19" s="62" t="inlineStr">
        <is>
          <t>Speaking Drills</t>
        </is>
      </c>
      <c r="D19" s="181" t="inlineStr">
        <is>
          <t>Speaking Drills</t>
        </is>
      </c>
      <c r="E19" s="67" t="inlineStr">
        <is>
          <t>Pronunciation drill, recording, feedback</t>
        </is>
      </c>
      <c r="F19" s="65" t="inlineStr">
        <is>
          <t>Valid Learner account/data exists</t>
        </is>
      </c>
    </row>
    <row r="20">
      <c r="A20" s="169" t="n"/>
      <c r="B20" s="61" t="n">
        <v>12</v>
      </c>
      <c r="C20" s="62" t="inlineStr">
        <is>
          <t>VSTEP Speaking</t>
        </is>
      </c>
      <c r="D20" s="181" t="inlineStr">
        <is>
          <t>VSTEP Speaking</t>
        </is>
      </c>
      <c r="E20" s="67" t="inlineStr">
        <is>
          <t>VSTEP session, submit, grading</t>
        </is>
      </c>
      <c r="F20" s="65" t="inlineStr">
        <is>
          <t>Valid Learner account/data exists</t>
        </is>
      </c>
    </row>
    <row r="21">
      <c r="A21" s="169" t="n"/>
      <c r="B21" s="61" t="n">
        <v>13</v>
      </c>
      <c r="C21" s="68" t="inlineStr">
        <is>
          <t>Conversation</t>
        </is>
      </c>
      <c r="D21" s="182" t="inlineStr">
        <is>
          <t>Conversation AI</t>
        </is>
      </c>
      <c r="E21" s="70" t="inlineStr">
        <is>
          <t>Scenario start, turns, review, feedback</t>
        </is>
      </c>
      <c r="F21" s="71" t="inlineStr">
        <is>
          <t>Valid Learner account/data exists</t>
        </is>
      </c>
    </row>
    <row r="22">
      <c r="A22" s="169" t="n"/>
      <c r="B22" s="61" t="n">
        <v>14</v>
      </c>
      <c r="C22" s="68" t="inlineStr">
        <is>
          <t>Shadowing</t>
        </is>
      </c>
      <c r="D22" s="182" t="inlineStr">
        <is>
          <t>Shadowing</t>
        </is>
      </c>
      <c r="E22" s="70" t="inlineStr">
        <is>
          <t>Shadowing session, playback, recording</t>
        </is>
      </c>
      <c r="F22" s="71" t="inlineStr">
        <is>
          <t>Valid Learner account/data exists</t>
        </is>
      </c>
    </row>
    <row r="23">
      <c r="A23" s="169" t="n"/>
      <c r="B23" s="61" t="n">
        <v>15</v>
      </c>
      <c r="C23" s="68" t="inlineStr">
        <is>
          <t>Exam Library &amp; Detail</t>
        </is>
      </c>
      <c r="D23" s="182" t="inlineStr">
        <is>
          <t>Exam Library</t>
        </is>
      </c>
      <c r="E23" s="70" t="inlineStr">
        <is>
          <t>List, status cards, detail, skill selector</t>
        </is>
      </c>
      <c r="F23" s="71" t="inlineStr">
        <is>
          <t>Valid Learner account/data exists</t>
        </is>
      </c>
    </row>
    <row r="24">
      <c r="A24" s="169" t="n"/>
      <c r="B24" s="61" t="n">
        <v>16</v>
      </c>
      <c r="C24" s="68" t="inlineStr">
        <is>
          <t>Start Exam Session</t>
        </is>
      </c>
      <c r="D24" s="182" t="inlineStr">
        <is>
          <t>Exam Start</t>
        </is>
      </c>
      <c r="E24" s="70" t="inlineStr">
        <is>
          <t>Full/custom start, coin, insufficient balance</t>
        </is>
      </c>
      <c r="F24" s="71" t="inlineStr">
        <is>
          <t>Valid Learner account/data exists</t>
        </is>
      </c>
    </row>
    <row r="25">
      <c r="A25" s="169" t="n"/>
      <c r="B25" s="61" t="n">
        <v>17</v>
      </c>
      <c r="C25" s="68" t="inlineStr">
        <is>
          <t>Draft Autosave</t>
        </is>
      </c>
      <c r="D25" s="182" t="inlineStr">
        <is>
          <t>Exam Draft</t>
        </is>
      </c>
      <c r="E25" s="70" t="inlineStr">
        <is>
          <t>Save, autosave debounce, resume from draft</t>
        </is>
      </c>
      <c r="F25" s="71" t="inlineStr">
        <is>
          <t>Valid Learner account/data exists</t>
        </is>
      </c>
    </row>
    <row r="26">
      <c r="A26" s="169" t="n"/>
      <c r="B26" s="61" t="n">
        <v>18</v>
      </c>
      <c r="C26" s="68" t="inlineStr">
        <is>
          <t>Exam Room Panels</t>
        </is>
      </c>
      <c r="D26" s="182" t="inlineStr">
        <is>
          <t>Exam Panels</t>
        </is>
      </c>
      <c r="E26" s="70" t="inlineStr">
        <is>
          <t>L/R/W/S panels, device check</t>
        </is>
      </c>
      <c r="F26" s="71" t="inlineStr">
        <is>
          <t>Valid Learner account/data exists</t>
        </is>
      </c>
    </row>
    <row r="27">
      <c r="A27" s="169" t="n"/>
      <c r="B27" s="61" t="n">
        <v>19</v>
      </c>
      <c r="C27" s="68" t="inlineStr">
        <is>
          <t>Transition &amp; Submit</t>
        </is>
      </c>
      <c r="D27" s="182" t="inlineStr">
        <is>
          <t>Exam Submit</t>
        </is>
      </c>
      <c r="E27" s="70" t="inlineStr">
        <is>
          <t>Next skill, confirm, submit, auto-submit, scoring</t>
        </is>
      </c>
      <c r="F27" s="71" t="inlineStr">
        <is>
          <t>Valid Learner account/data exists</t>
        </is>
      </c>
    </row>
    <row r="28">
      <c r="A28" s="169" t="n"/>
      <c r="B28" s="61" t="n">
        <v>20</v>
      </c>
      <c r="C28" s="68" t="inlineStr">
        <is>
          <t>Exam Result</t>
        </is>
      </c>
      <c r="D28" s="182" t="inlineStr">
        <is>
          <t>Exam Result</t>
        </is>
      </c>
      <c r="E28" s="70" t="inlineStr">
        <is>
          <t>Result summary, feedback, polling, detail page</t>
        </is>
      </c>
      <c r="F28" s="71" t="inlineStr">
        <is>
          <t>Valid Learner account/data exists</t>
        </is>
      </c>
    </row>
    <row r="29">
      <c r="A29" s="169" t="n"/>
      <c r="B29" s="61" t="n">
        <v>21</v>
      </c>
      <c r="C29" s="68" t="inlineStr">
        <is>
          <t>Wallet Balance</t>
        </is>
      </c>
      <c r="D29" s="182" t="inlineStr">
        <is>
          <t>Wallet Balance</t>
        </is>
      </c>
      <c r="E29" s="70" t="inlineStr">
        <is>
          <t>Balance endpoint, header display</t>
        </is>
      </c>
      <c r="F29" s="71" t="inlineStr">
        <is>
          <t>Valid Learner account/data exists</t>
        </is>
      </c>
    </row>
    <row r="30">
      <c r="A30" s="169" t="n"/>
      <c r="B30" s="61" t="n">
        <v>22</v>
      </c>
      <c r="C30" s="68" t="inlineStr">
        <is>
          <t>Top-up &amp; Payment</t>
        </is>
      </c>
      <c r="D30" s="182" t="inlineStr">
        <is>
          <t>Top-up</t>
        </is>
      </c>
      <c r="E30" s="70" t="inlineStr">
        <is>
          <t>Package list, order, confirm, redirect</t>
        </is>
      </c>
      <c r="F30" s="71" t="inlineStr">
        <is>
          <t>Valid Learner account/data exists</t>
        </is>
      </c>
    </row>
    <row r="31">
      <c r="A31" s="169" t="n"/>
      <c r="B31" s="61" t="n">
        <v>23</v>
      </c>
      <c r="C31" s="68" t="inlineStr">
        <is>
          <t>Promo Redemption</t>
        </is>
      </c>
      <c r="D31" s="182" t="inlineStr">
        <is>
          <t>Promo Redeem</t>
        </is>
      </c>
      <c r="E31" s="70" t="inlineStr">
        <is>
          <t>Valid/invalid redeem, frontend, error</t>
        </is>
      </c>
      <c r="F31" s="71" t="inlineStr">
        <is>
          <t>Valid Learner account/data exists</t>
        </is>
      </c>
    </row>
    <row r="32">
      <c r="A32" s="169" t="n"/>
      <c r="B32" s="61" t="n">
        <v>24</v>
      </c>
      <c r="C32" s="68" t="inlineStr">
        <is>
          <t>Dashboard &amp; Progress</t>
        </is>
      </c>
      <c r="D32" s="182" t="inlineStr">
        <is>
          <t>Dashboard</t>
        </is>
      </c>
      <c r="E32" s="70" t="inlineStr">
        <is>
          <t>Overview, spider chart, streak, learning path</t>
        </is>
      </c>
      <c r="F32" s="71" t="inlineStr">
        <is>
          <t>Valid Learner account/data exists</t>
        </is>
      </c>
    </row>
    <row r="33">
      <c r="A33" s="169" t="n"/>
      <c r="B33" s="61" t="n">
        <v>25</v>
      </c>
      <c r="C33" s="68" t="inlineStr">
        <is>
          <t>Course Enrollment</t>
        </is>
      </c>
      <c r="D33" s="182" t="inlineStr">
        <is>
          <t>Course Enroll</t>
        </is>
      </c>
      <c r="E33" s="70" t="inlineStr">
        <is>
          <t>List, enrollment order, frontend flow</t>
        </is>
      </c>
      <c r="F33" s="71" t="inlineStr">
        <is>
          <t>Valid Learner account/data exists</t>
        </is>
      </c>
    </row>
    <row r="34">
      <c r="A34" s="169" t="n"/>
      <c r="B34" s="61" t="n">
        <v>26</v>
      </c>
      <c r="C34" s="68" t="inlineStr">
        <is>
          <t>Booking &amp; Notification</t>
        </is>
      </c>
      <c r="D34" s="182" t="inlineStr">
        <is>
          <t>Booking</t>
        </is>
      </c>
      <c r="E34" s="70" t="inlineStr">
        <is>
          <t>Book slot, coin, limit, commitment, notifications</t>
        </is>
      </c>
      <c r="F34" s="71" t="inlineStr">
        <is>
          <t>Valid Learner account/data exists</t>
        </is>
      </c>
    </row>
    <row r="35">
      <c r="A35" s="169" t="n"/>
      <c r="B35" s="61" t="n">
        <v>27</v>
      </c>
      <c r="C35" s="68" t="inlineStr">
        <is>
          <t>Admin Dashboard</t>
        </is>
      </c>
      <c r="D35" s="182" t="inlineStr">
        <is>
          <t>Admin Dashboard</t>
        </is>
      </c>
      <c r="E35" s="70" t="inlineStr">
        <is>
          <t>Stats, alerts, role enforcement, frontend</t>
        </is>
      </c>
      <c r="F35" s="71" t="inlineStr">
        <is>
          <t>Valid Admin account/data exists</t>
        </is>
      </c>
    </row>
    <row r="36">
      <c r="A36" s="169" t="n"/>
      <c r="B36" s="61" t="n">
        <v>28</v>
      </c>
      <c r="C36" s="68" t="inlineStr">
        <is>
          <t>Admin Vocab &amp; Grammar</t>
        </is>
      </c>
      <c r="D36" s="182" t="inlineStr">
        <is>
          <t>Admin Vocab Grammar</t>
        </is>
      </c>
      <c r="E36" s="70" t="inlineStr">
        <is>
          <t>Vocab/grammar CRUD, publish/unpublish, frontend</t>
        </is>
      </c>
      <c r="F36" s="71" t="inlineStr">
        <is>
          <t>Valid Admin account/data exists</t>
        </is>
      </c>
    </row>
    <row r="37">
      <c r="A37" s="169" t="n"/>
      <c r="B37" s="61" t="n">
        <v>29</v>
      </c>
      <c r="C37" s="68" t="inlineStr">
        <is>
          <t>Admin Settings</t>
        </is>
      </c>
      <c r="D37" s="182" t="inlineStr">
        <is>
          <t>Admin Settings</t>
        </is>
      </c>
      <c r="E37" s="70" t="inlineStr">
        <is>
          <t>System config, update, role enforcement</t>
        </is>
      </c>
      <c r="F37" s="71" t="inlineStr">
        <is>
          <t>Valid Admin account/data exists</t>
        </is>
      </c>
    </row>
    <row r="38">
      <c r="A38" s="169" t="n"/>
      <c r="B38" s="61" t="n">
        <v>30</v>
      </c>
      <c r="C38" s="68" t="inlineStr">
        <is>
          <t>Admin Exam Mgmt</t>
        </is>
      </c>
      <c r="D38" s="182" t="inlineStr">
        <is>
          <t>Admin Exams</t>
        </is>
      </c>
      <c r="E38" s="70" t="inlineStr">
        <is>
          <t>Exam CRUD, import, version, content editors</t>
        </is>
      </c>
      <c r="F38" s="71" t="inlineStr">
        <is>
          <t>Valid Admin account/data exists</t>
        </is>
      </c>
    </row>
    <row r="39">
      <c r="A39" s="169" t="n"/>
      <c r="B39" s="61" t="n">
        <v>31</v>
      </c>
      <c r="C39" s="68" t="inlineStr">
        <is>
          <t>Admin Practice Content</t>
        </is>
      </c>
      <c r="D39" s="182" t="inlineStr">
        <is>
          <t>Admin Practice</t>
        </is>
      </c>
      <c r="E39" s="70" t="inlineStr">
        <is>
          <t>L/R/W/S exercise CRUD, editors</t>
        </is>
      </c>
      <c r="F39" s="71" t="inlineStr">
        <is>
          <t>Valid Admin account/data exists</t>
        </is>
      </c>
    </row>
    <row r="40">
      <c r="A40" s="169" t="n"/>
      <c r="B40" s="61" t="n">
        <v>32</v>
      </c>
      <c r="C40" s="68" t="inlineStr">
        <is>
          <t>Admin User Mgmt</t>
        </is>
      </c>
      <c r="D40" s="182" t="inlineStr">
        <is>
          <t>Admin Users</t>
        </is>
      </c>
      <c r="E40" s="70" t="inlineStr">
        <is>
          <t>User CRUD, deactivate, role enforcement, frontend</t>
        </is>
      </c>
      <c r="F40" s="71" t="inlineStr">
        <is>
          <t>Valid Admin account/data exists</t>
        </is>
      </c>
    </row>
    <row r="41">
      <c r="A41" s="169" t="n"/>
      <c r="B41" s="61" t="n">
        <v>33</v>
      </c>
      <c r="C41" s="68" t="inlineStr">
        <is>
          <t>Admin Course &amp; Promo</t>
        </is>
      </c>
      <c r="D41" s="182" t="inlineStr">
        <is>
          <t>Admin Courses</t>
        </is>
      </c>
      <c r="E41" s="70" t="inlineStr">
        <is>
          <t>Course CRUD, enrollments, bookings, promo, top-up</t>
        </is>
      </c>
      <c r="F41" s="71" t="inlineStr">
        <is>
          <t>Valid Admin account/data exists</t>
        </is>
      </c>
    </row>
    <row r="42">
      <c r="A42" s="169" t="n"/>
      <c r="B42" s="61" t="n">
        <v>34</v>
      </c>
      <c r="C42" s="68" t="inlineStr">
        <is>
          <t>Teacher</t>
        </is>
      </c>
      <c r="D42" s="182" t="inlineStr">
        <is>
          <t>Teacher</t>
        </is>
      </c>
      <c r="E42" s="70" t="inlineStr">
        <is>
          <t>Dashboard, schedule, bookings, leave requests</t>
        </is>
      </c>
      <c r="F42" s="71" t="inlineStr">
        <is>
          <t>Valid Teacher account/data exists</t>
        </is>
      </c>
    </row>
    <row r="43">
      <c r="A43" s="169" t="n"/>
      <c r="B43" s="61" t="n">
        <v>35</v>
      </c>
      <c r="C43" s="68" t="inlineStr">
        <is>
          <t>Grading &amp; AI</t>
        </is>
      </c>
      <c r="D43" s="182" t="inlineStr">
        <is>
          <t>Grading AI</t>
        </is>
      </c>
      <c r="E43" s="70" t="inlineStr">
        <is>
          <t>Result lookup, SSE, scoring formulas, pipeline</t>
        </is>
      </c>
      <c r="F43" s="71" t="inlineStr">
        <is>
          <t>Valid System account/data exists</t>
        </is>
      </c>
    </row>
    <row r="44">
      <c r="A44" s="169" t="n"/>
      <c r="B44" s="61" t="n">
        <v>36</v>
      </c>
      <c r="C44" s="68" t="inlineStr">
        <is>
          <t>System Integration</t>
        </is>
      </c>
      <c r="D44" s="73" t="inlineStr">
        <is>
          <t>System</t>
        </is>
      </c>
      <c r="E44" s="74" t="inlineStr">
        <is>
          <t>Role hierarchy, health, config, cross-module</t>
        </is>
      </c>
      <c r="F44" s="75" t="inlineStr">
        <is>
          <t>Valid System account/data exists</t>
        </is>
      </c>
    </row>
    <row r="45">
      <c r="A45" s="169" t="n"/>
      <c r="B45" s="61" t="n">
        <v>37</v>
      </c>
      <c r="C45" s="68" t="inlineStr">
        <is>
          <t>Non-functional</t>
        </is>
      </c>
      <c r="D45" s="73" t="inlineStr">
        <is>
          <t>Non-functional</t>
        </is>
      </c>
      <c r="E45" s="74" t="inlineStr">
        <is>
          <t>Security, performance, compatibility, usability, reliability</t>
        </is>
      </c>
      <c r="F45" s="75" t="inlineStr">
        <is>
          <t>Valid System account/data exists</t>
        </is>
      </c>
    </row>
  </sheetData>
  <mergeCells count="6">
    <mergeCell ref="D5:F5"/>
    <mergeCell ref="B3:C3"/>
    <mergeCell ref="B5:C5"/>
    <mergeCell ref="D4:F4"/>
    <mergeCell ref="D3:F3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style="171" min="1" max="1"/>
    <col width="18.38" customWidth="1" style="171" min="2" max="2"/>
    <col width="37.5" customWidth="1" style="171" min="3" max="3"/>
    <col width="13.38" customWidth="1" style="171" min="4" max="4"/>
    <col width="11.63" customWidth="1" style="171" min="5" max="5"/>
    <col width="13" customWidth="1" style="171" min="6" max="6"/>
    <col width="9" customWidth="1" style="171" min="7" max="7"/>
    <col width="30.38" customWidth="1" style="171" min="8" max="8"/>
    <col width="9" customWidth="1" style="171" min="9" max="9"/>
  </cols>
  <sheetData>
    <row r="1" ht="25.5" customHeight="1" s="171">
      <c r="A1" s="169" t="n"/>
      <c r="B1" s="183" t="inlineStr">
        <is>
          <t>TEST STATISTICS</t>
        </is>
      </c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69" t="n"/>
      <c r="T1" s="169" t="n"/>
      <c r="U1" s="169" t="n"/>
      <c r="V1" s="169" t="n"/>
      <c r="W1" s="169" t="n"/>
      <c r="X1" s="169" t="n"/>
      <c r="Y1" s="169" t="n"/>
      <c r="Z1" s="169" t="n"/>
    </row>
    <row r="2" ht="14.25" customHeight="1" s="171">
      <c r="A2" s="81" t="n"/>
      <c r="B2" s="81" t="n"/>
      <c r="C2" s="169" t="n"/>
      <c r="D2" s="169" t="n"/>
      <c r="E2" s="169" t="n"/>
      <c r="F2" s="169" t="n"/>
      <c r="G2" s="169" t="n"/>
      <c r="H2" s="82" t="n"/>
      <c r="I2" s="169" t="n"/>
      <c r="J2" s="169" t="n"/>
      <c r="K2" s="169" t="n"/>
      <c r="L2" s="169" t="n"/>
      <c r="M2" s="169" t="n"/>
      <c r="N2" s="169" t="n"/>
      <c r="O2" s="169" t="n"/>
      <c r="P2" s="169" t="n"/>
      <c r="Q2" s="169" t="n"/>
      <c r="R2" s="169" t="n"/>
      <c r="S2" s="169" t="n"/>
      <c r="T2" s="169" t="n"/>
      <c r="U2" s="169" t="n"/>
      <c r="V2" s="169" t="n"/>
      <c r="W2" s="169" t="n"/>
      <c r="X2" s="169" t="n"/>
      <c r="Y2" s="169" t="n"/>
      <c r="Z2" s="169" t="n"/>
    </row>
    <row r="3" ht="12" customHeight="1" s="171">
      <c r="A3" s="169" t="n"/>
      <c r="B3" s="83" t="inlineStr">
        <is>
          <t>Project Name</t>
        </is>
      </c>
      <c r="C3" s="178" t="inlineStr">
        <is>
          <t>An Adaptive VSTEP Preparation System</t>
        </is>
      </c>
      <c r="D3" s="174" t="n"/>
      <c r="E3" s="184" t="inlineStr">
        <is>
          <t>Creator</t>
        </is>
      </c>
      <c r="F3" s="174" t="n"/>
      <c r="G3" s="85" t="n"/>
      <c r="H3" s="86" t="inlineStr">
        <is>
          <t>Hoàng Văn Anh Nghĩa</t>
        </is>
      </c>
      <c r="I3" s="169" t="n"/>
      <c r="J3" s="169" t="n"/>
      <c r="K3" s="169" t="n"/>
      <c r="L3" s="169" t="n"/>
      <c r="M3" s="169" t="n"/>
      <c r="N3" s="169" t="n"/>
      <c r="O3" s="169" t="n"/>
      <c r="P3" s="169" t="n"/>
      <c r="Q3" s="169" t="n"/>
      <c r="R3" s="169" t="n"/>
      <c r="S3" s="169" t="n"/>
      <c r="T3" s="169" t="n"/>
      <c r="U3" s="169" t="n"/>
      <c r="V3" s="169" t="n"/>
      <c r="W3" s="169" t="n"/>
      <c r="X3" s="169" t="n"/>
      <c r="Y3" s="169" t="n"/>
      <c r="Z3" s="169" t="n"/>
    </row>
    <row r="4" ht="12" customHeight="1" s="171">
      <c r="A4" s="169" t="n"/>
      <c r="B4" s="83" t="inlineStr">
        <is>
          <t>Project Code</t>
        </is>
      </c>
      <c r="C4" s="178" t="inlineStr">
        <is>
          <t>SP26SE145</t>
        </is>
      </c>
      <c r="D4" s="174" t="n"/>
      <c r="E4" s="184" t="inlineStr">
        <is>
          <t>Reviewer/Approver</t>
        </is>
      </c>
      <c r="F4" s="174" t="n"/>
      <c r="G4" s="85" t="n"/>
      <c r="H4" s="86" t="inlineStr">
        <is>
          <t>Hoàng Văn Anh Nghĩa</t>
        </is>
      </c>
      <c r="I4" s="169" t="n"/>
      <c r="J4" s="169" t="n"/>
      <c r="K4" s="169" t="n"/>
      <c r="L4" s="169" t="n"/>
      <c r="M4" s="169" t="n"/>
      <c r="N4" s="169" t="n"/>
      <c r="O4" s="169" t="n"/>
      <c r="P4" s="169" t="n"/>
      <c r="Q4" s="169" t="n"/>
      <c r="R4" s="169" t="n"/>
      <c r="S4" s="169" t="n"/>
      <c r="T4" s="169" t="n"/>
      <c r="U4" s="169" t="n"/>
      <c r="V4" s="169" t="n"/>
      <c r="W4" s="169" t="n"/>
      <c r="X4" s="169" t="n"/>
      <c r="Y4" s="169" t="n"/>
      <c r="Z4" s="169" t="n"/>
    </row>
    <row r="5" ht="12" customHeight="1" s="171">
      <c r="A5" s="169" t="n"/>
      <c r="B5" s="87" t="inlineStr">
        <is>
          <t>Document Code</t>
        </is>
      </c>
      <c r="C5" s="178">
        <f>C4&amp;"_"&amp;"001"&amp;"_"&amp;"v1.0"</f>
        <v/>
      </c>
      <c r="D5" s="174" t="n"/>
      <c r="E5" s="184" t="inlineStr">
        <is>
          <t>Issue Date</t>
        </is>
      </c>
      <c r="F5" s="174" t="n"/>
      <c r="G5" s="85" t="n"/>
      <c r="H5" s="89" t="n">
        <v>46150</v>
      </c>
      <c r="I5" s="169" t="n"/>
      <c r="J5" s="169" t="n"/>
      <c r="K5" s="169" t="n"/>
      <c r="L5" s="169" t="n"/>
      <c r="M5" s="169" t="n"/>
      <c r="N5" s="169" t="n"/>
      <c r="O5" s="169" t="n"/>
      <c r="P5" s="169" t="n"/>
      <c r="Q5" s="169" t="n"/>
      <c r="R5" s="169" t="n"/>
      <c r="S5" s="169" t="n"/>
      <c r="T5" s="169" t="n"/>
      <c r="U5" s="169" t="n"/>
      <c r="V5" s="169" t="n"/>
      <c r="W5" s="169" t="n"/>
      <c r="X5" s="169" t="n"/>
      <c r="Y5" s="169" t="n"/>
      <c r="Z5" s="169" t="n"/>
    </row>
    <row r="6" ht="21.75" customHeight="1" s="171">
      <c r="A6" s="81" t="n"/>
      <c r="B6" s="87" t="inlineStr">
        <is>
          <t>Notes</t>
        </is>
      </c>
      <c r="C6" s="185" t="n"/>
      <c r="D6" s="173" t="n"/>
      <c r="E6" s="173" t="n"/>
      <c r="F6" s="173" t="n"/>
      <c r="G6" s="173" t="n"/>
      <c r="H6" s="174" t="n"/>
      <c r="I6" s="169" t="n"/>
      <c r="J6" s="169" t="n"/>
      <c r="K6" s="169" t="n"/>
      <c r="L6" s="169" t="n"/>
      <c r="M6" s="169" t="n"/>
      <c r="N6" s="169" t="n"/>
      <c r="O6" s="169" t="n"/>
      <c r="P6" s="169" t="n"/>
      <c r="Q6" s="169" t="n"/>
      <c r="R6" s="169" t="n"/>
      <c r="S6" s="169" t="n"/>
      <c r="T6" s="169" t="n"/>
      <c r="U6" s="169" t="n"/>
      <c r="V6" s="169" t="n"/>
      <c r="W6" s="169" t="n"/>
      <c r="X6" s="169" t="n"/>
      <c r="Y6" s="169" t="n"/>
      <c r="Z6" s="169" t="n"/>
    </row>
    <row r="7" ht="14.25" customHeight="1" s="171">
      <c r="A7" s="81" t="n"/>
      <c r="B7" s="91" t="n"/>
      <c r="C7" s="92" t="n"/>
      <c r="D7" s="169" t="n"/>
      <c r="E7" s="169" t="n"/>
      <c r="F7" s="169" t="n"/>
      <c r="G7" s="169" t="n"/>
      <c r="H7" s="82" t="n"/>
      <c r="I7" s="169" t="n"/>
      <c r="J7" s="169" t="n"/>
      <c r="K7" s="169" t="n"/>
      <c r="L7" s="169" t="n"/>
      <c r="M7" s="169" t="n"/>
      <c r="N7" s="169" t="n"/>
      <c r="O7" s="169" t="n"/>
      <c r="P7" s="169" t="n"/>
      <c r="Q7" s="169" t="n"/>
      <c r="R7" s="169" t="n"/>
      <c r="S7" s="169" t="n"/>
      <c r="T7" s="169" t="n"/>
      <c r="U7" s="169" t="n"/>
      <c r="V7" s="169" t="n"/>
      <c r="W7" s="169" t="n"/>
      <c r="X7" s="169" t="n"/>
      <c r="Y7" s="169" t="n"/>
      <c r="Z7" s="169" t="n"/>
    </row>
    <row r="8" ht="12.75" customHeight="1" s="171">
      <c r="A8" s="169" t="n"/>
      <c r="B8" s="91" t="n"/>
      <c r="C8" s="92" t="n"/>
      <c r="D8" s="169" t="n"/>
      <c r="E8" s="169" t="n"/>
      <c r="F8" s="169" t="n"/>
      <c r="G8" s="169" t="n"/>
      <c r="H8" s="82" t="n"/>
      <c r="I8" s="169" t="n"/>
      <c r="J8" s="169" t="n"/>
      <c r="K8" s="169" t="n"/>
      <c r="L8" s="169" t="n"/>
      <c r="M8" s="169" t="n"/>
      <c r="N8" s="169" t="n"/>
      <c r="O8" s="169" t="n"/>
      <c r="P8" s="169" t="n"/>
      <c r="Q8" s="169" t="n"/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</row>
    <row r="9" ht="12.75" customHeight="1" s="171">
      <c r="A9" s="169" t="n"/>
      <c r="B9" s="169" t="n"/>
      <c r="C9" s="169" t="n"/>
      <c r="D9" s="169" t="n"/>
      <c r="E9" s="169" t="n"/>
      <c r="F9" s="169" t="n"/>
      <c r="G9" s="169" t="n"/>
      <c r="H9" s="169" t="n"/>
      <c r="I9" s="169" t="n"/>
      <c r="J9" s="169" t="n"/>
      <c r="K9" s="169" t="n"/>
      <c r="L9" s="169" t="n"/>
      <c r="M9" s="169" t="n"/>
      <c r="N9" s="169" t="n"/>
      <c r="O9" s="169" t="n"/>
      <c r="P9" s="169" t="n"/>
      <c r="Q9" s="169" t="n"/>
      <c r="R9" s="169" t="n"/>
      <c r="S9" s="169" t="n"/>
      <c r="T9" s="169" t="n"/>
      <c r="U9" s="169" t="n"/>
      <c r="V9" s="169" t="n"/>
      <c r="W9" s="169" t="n"/>
      <c r="X9" s="169" t="n"/>
      <c r="Y9" s="169" t="n"/>
      <c r="Z9" s="169" t="n"/>
    </row>
    <row r="10" ht="12.75" customHeight="1" s="171">
      <c r="A10" s="93" t="n"/>
      <c r="B10" s="94" t="inlineStr">
        <is>
          <t>No</t>
        </is>
      </c>
      <c r="C10" s="95" t="inlineStr">
        <is>
          <t>Module code</t>
        </is>
      </c>
      <c r="D10" s="96" t="inlineStr">
        <is>
          <t>Passed</t>
        </is>
      </c>
      <c r="E10" s="95" t="inlineStr">
        <is>
          <t>Failed</t>
        </is>
      </c>
      <c r="F10" s="95" t="inlineStr">
        <is>
          <t>Pending</t>
        </is>
      </c>
      <c r="G10" s="97" t="inlineStr">
        <is>
          <t>N/A</t>
        </is>
      </c>
      <c r="H10" s="98" t="inlineStr">
        <is>
          <t>Number of test cases</t>
        </is>
      </c>
      <c r="I10" s="169" t="n"/>
      <c r="J10" s="169" t="n"/>
      <c r="K10" s="169" t="n"/>
      <c r="L10" s="169" t="n"/>
      <c r="M10" s="169" t="n"/>
      <c r="N10" s="169" t="n"/>
      <c r="O10" s="169" t="n"/>
      <c r="P10" s="169" t="n"/>
      <c r="Q10" s="169" t="n"/>
      <c r="R10" s="169" t="n"/>
      <c r="S10" s="169" t="n"/>
      <c r="T10" s="169" t="n"/>
      <c r="U10" s="169" t="n"/>
      <c r="V10" s="169" t="n"/>
      <c r="W10" s="169" t="n"/>
      <c r="X10" s="169" t="n"/>
      <c r="Y10" s="169" t="n"/>
      <c r="Z10" s="169" t="n"/>
    </row>
    <row r="11" ht="12.75" customHeight="1" s="171">
      <c r="A11" s="99" t="n"/>
      <c r="B11" s="100" t="n">
        <v>1</v>
      </c>
      <c r="C11" s="101">
        <f>Register!B2</f>
        <v/>
      </c>
      <c r="D11" s="102">
        <f>COUNTIF(Register!$F$12:$F$997,"Passed")</f>
        <v/>
      </c>
      <c r="E11" s="102">
        <f>COUNTIF(Register!$F$12:$F$997,"Failed")</f>
        <v/>
      </c>
      <c r="F11" s="102">
        <f>COUNTIF(Register!$F$12:$F$997,"Pending")</f>
        <v/>
      </c>
      <c r="G11" s="102">
        <f>COUNTIF(Register!$F$12:$F$997,"N/A")</f>
        <v/>
      </c>
      <c r="H11" s="109">
        <f>Register!B4</f>
        <v/>
      </c>
      <c r="I11" s="104" t="n"/>
      <c r="J11" s="169" t="n"/>
      <c r="K11" s="169" t="n"/>
      <c r="L11" s="169" t="n"/>
      <c r="M11" s="169" t="n"/>
      <c r="N11" s="169" t="n"/>
      <c r="O11" s="169" t="n"/>
      <c r="P11" s="169" t="n"/>
      <c r="Q11" s="169" t="n"/>
      <c r="R11" s="169" t="n"/>
      <c r="S11" s="169" t="n"/>
      <c r="T11" s="169" t="n"/>
      <c r="U11" s="169" t="n"/>
      <c r="V11" s="169" t="n"/>
      <c r="W11" s="169" t="n"/>
      <c r="X11" s="169" t="n"/>
      <c r="Y11" s="169" t="n"/>
      <c r="Z11" s="169" t="n"/>
    </row>
    <row r="12" ht="12.75" customHeight="1" s="171">
      <c r="A12" s="99" t="n"/>
      <c r="B12" s="100" t="n">
        <v>2</v>
      </c>
      <c r="C12" s="101">
        <f>Login!B2</f>
        <v/>
      </c>
      <c r="D12" s="102">
        <f>COUNTIF(Login!$F$12:$F$997,"Passed")</f>
        <v/>
      </c>
      <c r="E12" s="102">
        <f>COUNTIF(Login!$F$12:$F$997,"Failed")</f>
        <v/>
      </c>
      <c r="F12" s="102">
        <f>COUNTIF(Login!$F$12:$F$997,"Pending")</f>
        <v/>
      </c>
      <c r="G12" s="102">
        <f>COUNTIF(Login!$F$12:$F$997,"N/A")</f>
        <v/>
      </c>
      <c r="H12" s="109">
        <f>Login!B4</f>
        <v/>
      </c>
      <c r="I12" s="104" t="n"/>
      <c r="J12" s="169" t="n"/>
      <c r="K12" s="169" t="n"/>
      <c r="L12" s="169" t="n"/>
      <c r="M12" s="169" t="n"/>
      <c r="N12" s="169" t="n"/>
      <c r="O12" s="169" t="n"/>
      <c r="P12" s="169" t="n"/>
      <c r="Q12" s="169" t="n"/>
      <c r="R12" s="169" t="n"/>
      <c r="S12" s="169" t="n"/>
      <c r="T12" s="169" t="n"/>
      <c r="U12" s="169" t="n"/>
      <c r="V12" s="169" t="n"/>
      <c r="W12" s="169" t="n"/>
      <c r="X12" s="169" t="n"/>
      <c r="Y12" s="169" t="n"/>
      <c r="Z12" s="169" t="n"/>
    </row>
    <row r="13" ht="12.75" customHeight="1" s="171">
      <c r="A13" s="99" t="n"/>
      <c r="B13" s="100" t="n">
        <v>3</v>
      </c>
      <c r="C13" s="101">
        <f>'Google Auth'!B2</f>
        <v/>
      </c>
      <c r="D13" s="102">
        <f>COUNTIF('Google Auth'!$F$12:$F$997,"Passed")</f>
        <v/>
      </c>
      <c r="E13" s="102">
        <f>COUNTIF('Google Auth'!$F$12:$F$997,"Failed")</f>
        <v/>
      </c>
      <c r="F13" s="102">
        <f>COUNTIF('Google Auth'!$F$12:$F$997,"Pending")</f>
        <v/>
      </c>
      <c r="G13" s="102">
        <f>COUNTIF('Google Auth'!$F$12:$F$997,"N/A")</f>
        <v/>
      </c>
      <c r="H13" s="109">
        <f>'Google Auth'!B4</f>
        <v/>
      </c>
      <c r="I13" s="104" t="n"/>
      <c r="J13" s="169" t="n"/>
      <c r="K13" s="169" t="n"/>
      <c r="L13" s="169" t="n"/>
      <c r="M13" s="169" t="n"/>
      <c r="N13" s="169" t="n"/>
      <c r="O13" s="169" t="n"/>
      <c r="P13" s="169" t="n"/>
      <c r="Q13" s="169" t="n"/>
      <c r="R13" s="169" t="n"/>
      <c r="S13" s="169" t="n"/>
      <c r="T13" s="169" t="n"/>
      <c r="U13" s="169" t="n"/>
      <c r="V13" s="169" t="n"/>
      <c r="W13" s="169" t="n"/>
      <c r="X13" s="169" t="n"/>
      <c r="Y13" s="169" t="n"/>
      <c r="Z13" s="169" t="n"/>
    </row>
    <row r="14" ht="12.75" customHeight="1" s="171">
      <c r="A14" s="99" t="n"/>
      <c r="B14" s="100" t="n">
        <v>4</v>
      </c>
      <c r="C14" s="107">
        <f>Session!B2</f>
        <v/>
      </c>
      <c r="D14" s="102">
        <f>COUNTIF(Session!$F$12:$F$997,"Passed")</f>
        <v/>
      </c>
      <c r="E14" s="102">
        <f>COUNTIF(Session!$F$12:$F$997,"Failed")</f>
        <v/>
      </c>
      <c r="F14" s="102">
        <f>COUNTIF(Session!$F$12:$F$997,"Pending")</f>
        <v/>
      </c>
      <c r="G14" s="102">
        <f>COUNTIF(Session!$F$12:$F$997,"N/A")</f>
        <v/>
      </c>
      <c r="H14" s="109">
        <f>Session!B4</f>
        <v/>
      </c>
      <c r="I14" s="104" t="n"/>
      <c r="J14" s="169" t="n"/>
      <c r="K14" s="169" t="n"/>
      <c r="L14" s="169" t="n"/>
      <c r="M14" s="169" t="n"/>
      <c r="N14" s="169" t="n"/>
      <c r="O14" s="169" t="n"/>
      <c r="P14" s="169" t="n"/>
      <c r="Q14" s="169" t="n"/>
      <c r="R14" s="169" t="n"/>
      <c r="S14" s="169" t="n"/>
      <c r="T14" s="169" t="n"/>
      <c r="U14" s="169" t="n"/>
      <c r="V14" s="169" t="n"/>
      <c r="W14" s="169" t="n"/>
      <c r="X14" s="169" t="n"/>
      <c r="Y14" s="169" t="n"/>
      <c r="Z14" s="169" t="n"/>
    </row>
    <row r="15" ht="12.75" customHeight="1" s="171">
      <c r="A15" s="99" t="n"/>
      <c r="B15" s="100" t="n">
        <v>5</v>
      </c>
      <c r="C15" s="107">
        <f>Profile!B2</f>
        <v/>
      </c>
      <c r="D15" s="102">
        <f>COUNTIF(Profile!$F$12:$F$997,"Passed")</f>
        <v/>
      </c>
      <c r="E15" s="102">
        <f>COUNTIF(Profile!$F$12:$F$997,"Failed")</f>
        <v/>
      </c>
      <c r="F15" s="102">
        <f>COUNTIF(Profile!$F$12:$F$997,"Pending")</f>
        <v/>
      </c>
      <c r="G15" s="102">
        <f>COUNTIF(Profile!$F$12:$F$997,"N/A")</f>
        <v/>
      </c>
      <c r="H15" s="109">
        <f>Profile!B4</f>
        <v/>
      </c>
      <c r="I15" s="104" t="n"/>
      <c r="J15" s="169" t="n"/>
      <c r="K15" s="169" t="n"/>
      <c r="L15" s="169" t="n"/>
      <c r="M15" s="169" t="n"/>
      <c r="N15" s="169" t="n"/>
      <c r="O15" s="169" t="n"/>
      <c r="P15" s="169" t="n"/>
      <c r="Q15" s="169" t="n"/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</row>
    <row r="16" ht="12.75" customHeight="1" s="171">
      <c r="A16" s="99" t="n"/>
      <c r="B16" s="100" t="n">
        <v>6</v>
      </c>
      <c r="C16" s="107">
        <f>Vocabulary!B2</f>
        <v/>
      </c>
      <c r="D16" s="102">
        <f>COUNTIF(Vocabulary!$F$12:$F$997,"Passed")</f>
        <v/>
      </c>
      <c r="E16" s="102">
        <f>COUNTIF(Vocabulary!$F$12:$F$997,"Failed")</f>
        <v/>
      </c>
      <c r="F16" s="102">
        <f>COUNTIF(Vocabulary!$F$12:$F$997,"Pending")</f>
        <v/>
      </c>
      <c r="G16" s="102">
        <f>COUNTIF(Vocabulary!$F$12:$F$997,"N/A")</f>
        <v/>
      </c>
      <c r="H16" s="109">
        <f>Vocabulary!B4</f>
        <v/>
      </c>
      <c r="I16" s="104" t="n"/>
      <c r="J16" s="169" t="n"/>
      <c r="K16" s="169" t="n"/>
      <c r="L16" s="169" t="n"/>
      <c r="M16" s="169" t="n"/>
      <c r="N16" s="169" t="n"/>
      <c r="O16" s="169" t="n"/>
      <c r="P16" s="169" t="n"/>
      <c r="Q16" s="169" t="n"/>
      <c r="R16" s="169" t="n"/>
      <c r="S16" s="169" t="n"/>
      <c r="T16" s="169" t="n"/>
      <c r="U16" s="169" t="n"/>
      <c r="V16" s="169" t="n"/>
      <c r="W16" s="169" t="n"/>
      <c r="X16" s="169" t="n"/>
      <c r="Y16" s="169" t="n"/>
      <c r="Z16" s="169" t="n"/>
    </row>
    <row r="17" ht="12.75" customHeight="1" s="171">
      <c r="A17" s="99" t="n"/>
      <c r="B17" s="100" t="n">
        <v>7</v>
      </c>
      <c r="C17" s="107">
        <f>Grammar!B2</f>
        <v/>
      </c>
      <c r="D17" s="102">
        <f>COUNTIF(Grammar!$F$12:$F$997,"Passed")</f>
        <v/>
      </c>
      <c r="E17" s="102">
        <f>COUNTIF(Grammar!$F$12:$F$997,"Failed")</f>
        <v/>
      </c>
      <c r="F17" s="102">
        <f>COUNTIF(Grammar!$F$12:$F$997,"Pending")</f>
        <v/>
      </c>
      <c r="G17" s="102">
        <f>COUNTIF(Grammar!$F$12:$F$997,"N/A")</f>
        <v/>
      </c>
      <c r="H17" s="109">
        <f>Grammar!B4</f>
        <v/>
      </c>
      <c r="I17" s="104" t="n"/>
      <c r="J17" s="169" t="n"/>
      <c r="K17" s="169" t="n"/>
      <c r="L17" s="169" t="n"/>
      <c r="M17" s="169" t="n"/>
      <c r="N17" s="169" t="n"/>
      <c r="O17" s="169" t="n"/>
      <c r="P17" s="169" t="n"/>
      <c r="Q17" s="169" t="n"/>
      <c r="R17" s="169" t="n"/>
      <c r="S17" s="169" t="n"/>
      <c r="T17" s="169" t="n"/>
      <c r="U17" s="169" t="n"/>
      <c r="V17" s="169" t="n"/>
      <c r="W17" s="169" t="n"/>
      <c r="X17" s="169" t="n"/>
      <c r="Y17" s="169" t="n"/>
      <c r="Z17" s="169" t="n"/>
    </row>
    <row r="18" ht="12.75" customHeight="1" s="171">
      <c r="A18" s="99" t="n"/>
      <c r="B18" s="100" t="n">
        <v>8</v>
      </c>
      <c r="C18" s="107">
        <f>Listening!B2</f>
        <v/>
      </c>
      <c r="D18" s="102">
        <f>COUNTIF(Listening!$F$12:$F$997,"Passed")</f>
        <v/>
      </c>
      <c r="E18" s="102">
        <f>COUNTIF(Listening!$F$12:$F$997,"Failed")</f>
        <v/>
      </c>
      <c r="F18" s="102">
        <f>COUNTIF(Listening!$F$12:$F$997,"Pending")</f>
        <v/>
      </c>
      <c r="G18" s="102">
        <f>COUNTIF(Listening!$F$12:$F$997,"N/A")</f>
        <v/>
      </c>
      <c r="H18" s="109">
        <f>Listening!B4</f>
        <v/>
      </c>
      <c r="I18" s="104" t="n"/>
      <c r="J18" s="169" t="n"/>
      <c r="K18" s="169" t="n"/>
      <c r="L18" s="169" t="n"/>
      <c r="M18" s="169" t="n"/>
      <c r="N18" s="169" t="n"/>
      <c r="O18" s="169" t="n"/>
      <c r="P18" s="169" t="n"/>
      <c r="Q18" s="169" t="n"/>
      <c r="R18" s="169" t="n"/>
      <c r="S18" s="169" t="n"/>
      <c r="T18" s="169" t="n"/>
      <c r="U18" s="169" t="n"/>
      <c r="V18" s="169" t="n"/>
      <c r="W18" s="169" t="n"/>
      <c r="X18" s="169" t="n"/>
      <c r="Y18" s="169" t="n"/>
      <c r="Z18" s="169" t="n"/>
    </row>
    <row r="19" ht="12.75" customHeight="1" s="171">
      <c r="A19" s="99" t="n"/>
      <c r="B19" s="100" t="n">
        <v>9</v>
      </c>
      <c r="C19" s="107">
        <f>Reading!B2</f>
        <v/>
      </c>
      <c r="D19" s="108">
        <f>COUNTIF(Reading!$F$12:$F$997,"Passed")</f>
        <v/>
      </c>
      <c r="E19" s="108">
        <f>COUNTIF(Reading!$F$12:$F$997,"Failed")</f>
        <v/>
      </c>
      <c r="F19" s="108">
        <f>COUNTIF(Reading!$F$12:$F$997,"Pending")</f>
        <v/>
      </c>
      <c r="G19" s="102">
        <f>COUNTIF(Reading!$F$12:$F$997,"N/A")</f>
        <v/>
      </c>
      <c r="H19" s="109">
        <f>Reading!B4</f>
        <v/>
      </c>
      <c r="I19" s="104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169" t="n"/>
      <c r="Y19" s="169" t="n"/>
      <c r="Z19" s="169" t="n"/>
    </row>
    <row r="20" ht="12.75" customHeight="1" s="171">
      <c r="A20" s="99" t="n"/>
      <c r="B20" s="100" t="n">
        <v>10</v>
      </c>
      <c r="C20" s="107">
        <f>Writing!B2</f>
        <v/>
      </c>
      <c r="D20" s="108">
        <f>COUNTIF(Writing!$F$12:$F$997,"Passed")</f>
        <v/>
      </c>
      <c r="E20" s="108">
        <f>COUNTIF(Writing!$F$12:$F$997,"Failed")</f>
        <v/>
      </c>
      <c r="F20" s="108">
        <f>COUNTIF(Writing!$F$12:$F$997,"Pending")</f>
        <v/>
      </c>
      <c r="G20" s="102">
        <f>COUNTIF(Writing!$F$12:$F$997,"N/A")</f>
        <v/>
      </c>
      <c r="H20" s="109">
        <f>Writing!B4</f>
        <v/>
      </c>
      <c r="I20" s="104" t="n"/>
      <c r="J20" s="169" t="n"/>
      <c r="K20" s="169" t="n"/>
      <c r="L20" s="169" t="n"/>
      <c r="M20" s="169" t="n"/>
      <c r="N20" s="169" t="n"/>
      <c r="O20" s="169" t="n"/>
      <c r="P20" s="169" t="n"/>
      <c r="Q20" s="169" t="n"/>
      <c r="R20" s="169" t="n"/>
      <c r="S20" s="169" t="n"/>
      <c r="T20" s="169" t="n"/>
      <c r="U20" s="169" t="n"/>
      <c r="V20" s="169" t="n"/>
      <c r="W20" s="169" t="n"/>
      <c r="X20" s="169" t="n"/>
      <c r="Y20" s="169" t="n"/>
      <c r="Z20" s="169" t="n"/>
    </row>
    <row r="21" ht="12.75" customHeight="1" s="171">
      <c r="A21" s="99" t="n"/>
      <c r="B21" s="100" t="n">
        <v>11</v>
      </c>
      <c r="C21" s="107">
        <f>'Speaking Drills'!B2</f>
        <v/>
      </c>
      <c r="D21" s="108">
        <f>COUNTIF('Speaking Drills'!$F$12:$F$997,"Passed")</f>
        <v/>
      </c>
      <c r="E21" s="108">
        <f>COUNTIF('Speaking Drills'!$F$12:$F$997,"Failed")</f>
        <v/>
      </c>
      <c r="F21" s="108">
        <f>COUNTIF('Speaking Drills'!$F$12:$F$997,"Pending")</f>
        <v/>
      </c>
      <c r="G21" s="102">
        <f>COUNTIF('Speaking Drills'!$F$12:$F$997,"N/A")</f>
        <v/>
      </c>
      <c r="H21" s="109">
        <f>'Speaking Drills'!B4</f>
        <v/>
      </c>
      <c r="I21" s="104" t="n"/>
      <c r="J21" s="169" t="n"/>
      <c r="K21" s="169" t="n"/>
      <c r="L21" s="169" t="n"/>
      <c r="M21" s="169" t="n"/>
      <c r="N21" s="169" t="n"/>
      <c r="O21" s="169" t="n"/>
      <c r="P21" s="169" t="n"/>
      <c r="Q21" s="169" t="n"/>
      <c r="R21" s="169" t="n"/>
      <c r="S21" s="169" t="n"/>
      <c r="T21" s="169" t="n"/>
      <c r="U21" s="169" t="n"/>
      <c r="V21" s="169" t="n"/>
      <c r="W21" s="169" t="n"/>
      <c r="X21" s="169" t="n"/>
      <c r="Y21" s="169" t="n"/>
      <c r="Z21" s="169" t="n"/>
    </row>
    <row r="22" ht="12.75" customHeight="1" s="171">
      <c r="A22" s="99" t="n"/>
      <c r="B22" s="100" t="n">
        <v>12</v>
      </c>
      <c r="C22" s="107">
        <f>'VSTEP Speaking'!B2</f>
        <v/>
      </c>
      <c r="D22" s="108">
        <f>COUNTIF('VSTEP Speaking'!$F$12:$F$997,"Passed")</f>
        <v/>
      </c>
      <c r="E22" s="108">
        <f>COUNTIF('VSTEP Speaking'!$F$12:$F$997,"Failed")</f>
        <v/>
      </c>
      <c r="F22" s="108">
        <f>COUNTIF('VSTEP Speaking'!$F$12:$F$997,"Pending")</f>
        <v/>
      </c>
      <c r="G22" s="102">
        <f>COUNTIF('VSTEP Speaking'!$F$12:$F$997,"N/A")</f>
        <v/>
      </c>
      <c r="H22" s="109">
        <f>'VSTEP Speaking'!B4</f>
        <v/>
      </c>
      <c r="I22" s="104" t="n"/>
      <c r="J22" s="169" t="n"/>
      <c r="K22" s="169" t="n"/>
      <c r="L22" s="169" t="n"/>
      <c r="M22" s="169" t="n"/>
      <c r="N22" s="169" t="n"/>
      <c r="O22" s="169" t="n"/>
      <c r="P22" s="169" t="n"/>
      <c r="Q22" s="169" t="n"/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</row>
    <row r="23" ht="12.75" customHeight="1" s="171">
      <c r="A23" s="99" t="n"/>
      <c r="B23" s="100" t="n">
        <v>13</v>
      </c>
      <c r="C23" s="107">
        <f>'Conversation AI'!B2</f>
        <v/>
      </c>
      <c r="D23" s="108">
        <f>COUNTIF('Conversation AI'!$F$12:$F$997,"Passed")</f>
        <v/>
      </c>
      <c r="E23" s="108">
        <f>COUNTIF('Conversation AI'!$F$12:$F$997,"Failed")</f>
        <v/>
      </c>
      <c r="F23" s="108">
        <f>COUNTIF('Conversation AI'!$F$12:$F$997,"Pending")</f>
        <v/>
      </c>
      <c r="G23" s="102">
        <f>COUNTIF('Conversation AI'!$F$12:$F$997,"N/A")</f>
        <v/>
      </c>
      <c r="H23" s="109">
        <f>'Conversation AI'!B4</f>
        <v/>
      </c>
      <c r="I23" s="104" t="n"/>
      <c r="J23" s="169" t="n"/>
      <c r="K23" s="169" t="n"/>
      <c r="L23" s="169" t="n"/>
      <c r="M23" s="169" t="n"/>
      <c r="N23" s="169" t="n"/>
      <c r="O23" s="169" t="n"/>
      <c r="P23" s="169" t="n"/>
      <c r="Q23" s="169" t="n"/>
      <c r="R23" s="169" t="n"/>
      <c r="S23" s="169" t="n"/>
      <c r="T23" s="169" t="n"/>
      <c r="U23" s="169" t="n"/>
      <c r="V23" s="169" t="n"/>
      <c r="W23" s="169" t="n"/>
      <c r="X23" s="169" t="n"/>
      <c r="Y23" s="169" t="n"/>
      <c r="Z23" s="169" t="n"/>
    </row>
    <row r="24" ht="12.75" customHeight="1" s="171">
      <c r="A24" s="99" t="n"/>
      <c r="B24" s="100" t="n">
        <v>14</v>
      </c>
      <c r="C24" s="107">
        <f>Shadowing!B2</f>
        <v/>
      </c>
      <c r="D24" s="108">
        <f>COUNTIF(Shadowing!$F$12:$F$997,"Passed")</f>
        <v/>
      </c>
      <c r="E24" s="108">
        <f>COUNTIF(Shadowing!$F$12:$F$997,"Failed")</f>
        <v/>
      </c>
      <c r="F24" s="108">
        <f>COUNTIF(Shadowing!$F$12:$F$997,"Pending")</f>
        <v/>
      </c>
      <c r="G24" s="102">
        <f>COUNTIF(Shadowing!$F$12:$F$997,"N/A")</f>
        <v/>
      </c>
      <c r="H24" s="109">
        <f>Shadowing!B4</f>
        <v/>
      </c>
      <c r="I24" s="104" t="n"/>
      <c r="J24" s="169" t="n"/>
      <c r="K24" s="169" t="n"/>
      <c r="L24" s="169" t="n"/>
      <c r="M24" s="169" t="n"/>
      <c r="N24" s="169" t="n"/>
      <c r="O24" s="169" t="n"/>
      <c r="P24" s="169" t="n"/>
      <c r="Q24" s="169" t="n"/>
      <c r="R24" s="169" t="n"/>
      <c r="S24" s="169" t="n"/>
      <c r="T24" s="169" t="n"/>
      <c r="U24" s="169" t="n"/>
      <c r="V24" s="169" t="n"/>
      <c r="W24" s="169" t="n"/>
      <c r="X24" s="169" t="n"/>
      <c r="Y24" s="169" t="n"/>
      <c r="Z24" s="169" t="n"/>
    </row>
    <row r="25" ht="12.75" customHeight="1" s="171">
      <c r="A25" s="99" t="n"/>
      <c r="B25" s="100" t="n">
        <v>15</v>
      </c>
      <c r="C25" s="107">
        <f>'Exam Library'!B2</f>
        <v/>
      </c>
      <c r="D25" s="108">
        <f>COUNTIF('Exam Library'!$F$12:$F$997,"Passed")</f>
        <v/>
      </c>
      <c r="E25" s="108">
        <f>COUNTIF('Exam Library'!$F$12:$F$997,"Failed")</f>
        <v/>
      </c>
      <c r="F25" s="108">
        <f>COUNTIF('Exam Library'!$F$12:$F$997,"Pending")</f>
        <v/>
      </c>
      <c r="G25" s="102">
        <f>COUNTIF('Exam Library'!$F$12:$F$997,"N/A")</f>
        <v/>
      </c>
      <c r="H25" s="109">
        <f>'Exam Library'!B4</f>
        <v/>
      </c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169" t="n"/>
      <c r="Y25" s="169" t="n"/>
      <c r="Z25" s="169" t="n"/>
    </row>
    <row r="26" ht="12.75" customHeight="1" s="171">
      <c r="A26" s="99" t="n"/>
      <c r="B26" s="100" t="n">
        <v>16</v>
      </c>
      <c r="C26" s="107">
        <f>'Exam Start'!B2</f>
        <v/>
      </c>
      <c r="D26" s="108">
        <f>COUNTIF('Exam Start'!$F$12:$F$997,"Passed")</f>
        <v/>
      </c>
      <c r="E26" s="108">
        <f>COUNTIF('Exam Start'!$F$12:$F$997,"Failed")</f>
        <v/>
      </c>
      <c r="F26" s="108">
        <f>COUNTIF('Exam Start'!$F$12:$F$997,"Pending")</f>
        <v/>
      </c>
      <c r="G26" s="102">
        <f>COUNTIF('Exam Start'!$F$12:$F$997,"N/A")</f>
        <v/>
      </c>
      <c r="H26" s="109">
        <f>'Exam Start'!B4</f>
        <v/>
      </c>
      <c r="I26" s="169" t="n"/>
      <c r="J26" s="169" t="n"/>
      <c r="K26" s="169" t="n"/>
      <c r="L26" s="169" t="n"/>
      <c r="M26" s="169" t="n"/>
      <c r="N26" s="169" t="n"/>
      <c r="O26" s="169" t="n"/>
      <c r="P26" s="169" t="n"/>
      <c r="Q26" s="169" t="n"/>
      <c r="R26" s="169" t="n"/>
      <c r="S26" s="169" t="n"/>
      <c r="T26" s="169" t="n"/>
      <c r="U26" s="169" t="n"/>
      <c r="V26" s="169" t="n"/>
      <c r="W26" s="169" t="n"/>
      <c r="X26" s="169" t="n"/>
      <c r="Y26" s="169" t="n"/>
      <c r="Z26" s="169" t="n"/>
    </row>
    <row r="27" ht="12.75" customHeight="1" s="171">
      <c r="A27" s="99" t="n"/>
      <c r="B27" s="100" t="n">
        <v>17</v>
      </c>
      <c r="C27" s="107">
        <f>'Exam Draft'!B2</f>
        <v/>
      </c>
      <c r="D27" s="108">
        <f>COUNTIF('Exam Draft'!$F$12:$F$997,"Passed")</f>
        <v/>
      </c>
      <c r="E27" s="108">
        <f>COUNTIF('Exam Draft'!$F$12:$F$997,"Failed")</f>
        <v/>
      </c>
      <c r="F27" s="108">
        <f>COUNTIF('Exam Draft'!$F$12:$F$997,"Pending")</f>
        <v/>
      </c>
      <c r="G27" s="102">
        <f>COUNTIF('Exam Draft'!$F$12:$F$997,"N/A")</f>
        <v/>
      </c>
      <c r="H27" s="109">
        <f>'Exam Draft'!B4</f>
        <v/>
      </c>
      <c r="I27" s="169" t="n"/>
      <c r="J27" s="169" t="n"/>
      <c r="K27" s="169" t="n"/>
      <c r="L27" s="169" t="n"/>
      <c r="M27" s="169" t="n"/>
      <c r="N27" s="169" t="n"/>
      <c r="O27" s="169" t="n"/>
      <c r="P27" s="169" t="n"/>
      <c r="Q27" s="169" t="n"/>
      <c r="R27" s="169" t="n"/>
      <c r="S27" s="169" t="n"/>
      <c r="T27" s="169" t="n"/>
      <c r="U27" s="169" t="n"/>
      <c r="V27" s="169" t="n"/>
      <c r="W27" s="169" t="n"/>
      <c r="X27" s="169" t="n"/>
      <c r="Y27" s="169" t="n"/>
      <c r="Z27" s="169" t="n"/>
    </row>
    <row r="28" ht="12.75" customHeight="1" s="171">
      <c r="A28" s="99" t="n"/>
      <c r="B28" s="100" t="n">
        <v>18</v>
      </c>
      <c r="C28" s="107">
        <f>'Exam Panels'!B2</f>
        <v/>
      </c>
      <c r="D28" s="108">
        <f>COUNTIF('Exam Panels'!$F$12:$F$997,"Passed")</f>
        <v/>
      </c>
      <c r="E28" s="108">
        <f>COUNTIF('Exam Panels'!$F$12:$F$997,"Failed")</f>
        <v/>
      </c>
      <c r="F28" s="108">
        <f>COUNTIF('Exam Panels'!$F$12:$F$997,"Pending")</f>
        <v/>
      </c>
      <c r="G28" s="110">
        <f>COUNTIF('Exam Panels'!$F$12:$F$997,"N/A")</f>
        <v/>
      </c>
      <c r="H28" s="109">
        <f>'Exam Panels'!B4</f>
        <v/>
      </c>
      <c r="I28" s="104" t="n"/>
      <c r="J28" s="169" t="n"/>
      <c r="K28" s="169" t="n"/>
      <c r="L28" s="169" t="n"/>
      <c r="M28" s="169" t="n"/>
      <c r="N28" s="169" t="n"/>
      <c r="O28" s="169" t="n"/>
      <c r="P28" s="169" t="n"/>
      <c r="Q28" s="169" t="n"/>
      <c r="R28" s="169" t="n"/>
      <c r="S28" s="169" t="n"/>
      <c r="T28" s="169" t="n"/>
      <c r="U28" s="169" t="n"/>
      <c r="V28" s="169" t="n"/>
      <c r="W28" s="169" t="n"/>
      <c r="X28" s="169" t="n"/>
      <c r="Y28" s="169" t="n"/>
      <c r="Z28" s="169" t="n"/>
    </row>
    <row r="29" ht="12.75" customHeight="1" s="171">
      <c r="A29" s="99" t="n"/>
      <c r="B29" s="100" t="n">
        <v>19</v>
      </c>
      <c r="C29" s="107">
        <f>'Exam Submit'!B2</f>
        <v/>
      </c>
      <c r="D29" s="108">
        <f>COUNTIF('Exam Submit'!$F$12:$F$997,"Passed")</f>
        <v/>
      </c>
      <c r="E29" s="108">
        <f>COUNTIF('Exam Submit'!$F$12:$F$997,"Failed")</f>
        <v/>
      </c>
      <c r="F29" s="108">
        <f>COUNTIF('Exam Submit'!$F$12:$F$997,"Pending")</f>
        <v/>
      </c>
      <c r="G29" s="110">
        <f>COUNTIF('Exam Submit'!$F$12:$F$997,"N/A")</f>
        <v/>
      </c>
      <c r="H29" s="109">
        <f>'Exam Submit'!B4</f>
        <v/>
      </c>
      <c r="I29" s="104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</row>
    <row r="30" ht="12.75" customHeight="1" s="171">
      <c r="A30" s="99" t="n"/>
      <c r="B30" s="100" t="n">
        <v>20</v>
      </c>
      <c r="C30" s="107">
        <f>'Exam Result'!B2</f>
        <v/>
      </c>
      <c r="D30" s="108">
        <f>COUNTIF('Exam Result'!$F$12:$F$997,"Passed")</f>
        <v/>
      </c>
      <c r="E30" s="108">
        <f>COUNTIF('Exam Result'!$F$12:$F$997,"Failed")</f>
        <v/>
      </c>
      <c r="F30" s="108">
        <f>COUNTIF('Exam Result'!$F$12:$F$997,"Pending")</f>
        <v/>
      </c>
      <c r="G30" s="108">
        <f>COUNTIF('Exam Result'!$F$12:$F$997,"N/A")</f>
        <v/>
      </c>
      <c r="H30" s="109">
        <f>'Exam Result'!B4</f>
        <v/>
      </c>
      <c r="I30" s="104" t="n"/>
      <c r="J30" s="169" t="n"/>
      <c r="K30" s="169" t="n"/>
      <c r="L30" s="169" t="n"/>
      <c r="M30" s="169" t="n"/>
      <c r="N30" s="169" t="n"/>
      <c r="O30" s="169" t="n"/>
      <c r="P30" s="169" t="n"/>
      <c r="Q30" s="169" t="n"/>
      <c r="R30" s="169" t="n"/>
      <c r="S30" s="169" t="n"/>
      <c r="T30" s="169" t="n"/>
      <c r="U30" s="169" t="n"/>
      <c r="V30" s="169" t="n"/>
      <c r="W30" s="169" t="n"/>
      <c r="X30" s="169" t="n"/>
      <c r="Y30" s="169" t="n"/>
      <c r="Z30" s="169" t="n"/>
    </row>
    <row r="31" ht="12.75" customHeight="1" s="171">
      <c r="A31" s="99" t="n"/>
      <c r="B31" s="100" t="n">
        <v>21</v>
      </c>
      <c r="C31" s="107">
        <f>'Wallet Balance'!B2</f>
        <v/>
      </c>
      <c r="D31" s="108">
        <f>COUNTIF('Wallet Balance'!$F$12:$F$997,"Passed")</f>
        <v/>
      </c>
      <c r="E31" s="108">
        <f>COUNTIF('Wallet Balance'!$F$12:$F$997,"Failed")</f>
        <v/>
      </c>
      <c r="F31" s="108">
        <f>COUNTIF('Wallet Balance'!$F$12:$F$997,"Pending")</f>
        <v/>
      </c>
      <c r="G31" s="108">
        <f>COUNTIF('Wallet Balance'!$F$12:$F$997,"N/A")</f>
        <v/>
      </c>
      <c r="H31" s="109">
        <f>'Wallet Balance'!B4</f>
        <v/>
      </c>
      <c r="I31" s="104" t="n"/>
      <c r="J31" s="169" t="n"/>
      <c r="K31" s="169" t="n"/>
      <c r="L31" s="169" t="n"/>
      <c r="M31" s="169" t="n"/>
      <c r="N31" s="169" t="n"/>
      <c r="O31" s="169" t="n"/>
      <c r="P31" s="169" t="n"/>
      <c r="Q31" s="169" t="n"/>
      <c r="R31" s="169" t="n"/>
      <c r="S31" s="169" t="n"/>
      <c r="T31" s="169" t="n"/>
      <c r="U31" s="169" t="n"/>
      <c r="V31" s="169" t="n"/>
      <c r="W31" s="169" t="n"/>
      <c r="X31" s="169" t="n"/>
      <c r="Y31" s="169" t="n"/>
      <c r="Z31" s="169" t="n"/>
    </row>
    <row r="32" ht="12.75" customHeight="1" s="171">
      <c r="A32" s="99" t="n"/>
      <c r="B32" s="100" t="n">
        <v>22</v>
      </c>
      <c r="C32" s="107">
        <f>'Top-up'!B2</f>
        <v/>
      </c>
      <c r="D32" s="108">
        <f>COUNTIF('Top-up'!$F$12:$F$997,"Passed")</f>
        <v/>
      </c>
      <c r="E32" s="108">
        <f>COUNTIF('Top-up'!$F$12:$F$997,"Failed")</f>
        <v/>
      </c>
      <c r="F32" s="108">
        <f>COUNTIF('Top-up'!$F$12:$F$997,"Pending")</f>
        <v/>
      </c>
      <c r="G32" s="108">
        <f>COUNTIF('Top-up'!$F$12:$F$997,"N/A")</f>
        <v/>
      </c>
      <c r="H32" s="109">
        <f>'Top-up'!B4</f>
        <v/>
      </c>
      <c r="I32" s="104" t="n"/>
      <c r="J32" s="169" t="n"/>
      <c r="K32" s="169" t="n"/>
      <c r="L32" s="169" t="n"/>
      <c r="M32" s="169" t="n"/>
      <c r="N32" s="169" t="n"/>
      <c r="O32" s="169" t="n"/>
      <c r="P32" s="169" t="n"/>
      <c r="Q32" s="169" t="n"/>
      <c r="R32" s="169" t="n"/>
      <c r="S32" s="169" t="n"/>
      <c r="T32" s="169" t="n"/>
      <c r="U32" s="169" t="n"/>
      <c r="V32" s="169" t="n"/>
      <c r="W32" s="169" t="n"/>
      <c r="X32" s="169" t="n"/>
      <c r="Y32" s="169" t="n"/>
      <c r="Z32" s="169" t="n"/>
    </row>
    <row r="33" ht="12.75" customHeight="1" s="171">
      <c r="A33" s="99" t="n"/>
      <c r="B33" s="100" t="n">
        <v>23</v>
      </c>
      <c r="C33" s="107">
        <f>'Promo Redeem'!B2</f>
        <v/>
      </c>
      <c r="D33" s="108">
        <f>COUNTIF('Promo Redeem'!$F$12:$F$997,"Passed")</f>
        <v/>
      </c>
      <c r="E33" s="108">
        <f>COUNTIF('Promo Redeem'!$F$12:$F$997,"Failed")</f>
        <v/>
      </c>
      <c r="F33" s="108">
        <f>COUNTIF('Promo Redeem'!$F$12:$F$997,"Pending")</f>
        <v/>
      </c>
      <c r="G33" s="108">
        <f>COUNTIF('Promo Redeem'!$F$12:$F$997,"N/A")</f>
        <v/>
      </c>
      <c r="H33" s="109">
        <f>'Promo Redeem'!B4</f>
        <v/>
      </c>
      <c r="I33" s="104" t="n"/>
      <c r="J33" s="169" t="n"/>
      <c r="K33" s="169" t="n"/>
      <c r="L33" s="169" t="n"/>
      <c r="M33" s="169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169" t="n"/>
      <c r="W33" s="169" t="n"/>
      <c r="X33" s="169" t="n"/>
      <c r="Y33" s="169" t="n"/>
      <c r="Z33" s="169" t="n"/>
    </row>
    <row r="34" ht="12.75" customHeight="1" s="171">
      <c r="A34" s="99" t="n"/>
      <c r="B34" s="100" t="n">
        <v>24</v>
      </c>
      <c r="C34" s="107">
        <f>Dashboard!B2</f>
        <v/>
      </c>
      <c r="D34" s="108">
        <f>COUNTIF(Dashboard!$F$12:$F$997,"Passed")</f>
        <v/>
      </c>
      <c r="E34" s="108">
        <f>COUNTIF(Dashboard!$F$12:$F$997,"Failed")</f>
        <v/>
      </c>
      <c r="F34" s="108">
        <f>COUNTIF(Dashboard!$F$12:$F$997,"Pending")</f>
        <v/>
      </c>
      <c r="G34" s="108">
        <f>COUNTIF(Dashboard!$F$12:$F$997,"N/A")</f>
        <v/>
      </c>
      <c r="H34" s="109">
        <f>Dashboard!B4</f>
        <v/>
      </c>
      <c r="I34" s="104" t="n"/>
      <c r="J34" s="169" t="n"/>
      <c r="K34" s="169" t="n"/>
      <c r="L34" s="169" t="n"/>
      <c r="M34" s="169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169" t="n"/>
      <c r="W34" s="169" t="n"/>
      <c r="X34" s="169" t="n"/>
      <c r="Y34" s="169" t="n"/>
      <c r="Z34" s="169" t="n"/>
    </row>
    <row r="35" ht="12.75" customHeight="1" s="171">
      <c r="A35" s="99" t="n"/>
      <c r="B35" s="100" t="n">
        <v>25</v>
      </c>
      <c r="C35" s="107">
        <f>'Course Enroll'!B2</f>
        <v/>
      </c>
      <c r="D35" s="108">
        <f>COUNTIF('Course Enroll'!$F$12:$F$997,"Passed")</f>
        <v/>
      </c>
      <c r="E35" s="108">
        <f>COUNTIF('Course Enroll'!$F$12:$F$997,"Failed")</f>
        <v/>
      </c>
      <c r="F35" s="108">
        <f>COUNTIF('Course Enroll'!$F$12:$F$997,"Pending")</f>
        <v/>
      </c>
      <c r="G35" s="108">
        <f>COUNTIF('Course Enroll'!$F$12:$F$997,"N/A")</f>
        <v/>
      </c>
      <c r="H35" s="109">
        <f>'Course Enroll'!B4</f>
        <v/>
      </c>
      <c r="I35" s="104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169" t="n"/>
      <c r="W35" s="169" t="n"/>
      <c r="X35" s="169" t="n"/>
      <c r="Y35" s="169" t="n"/>
      <c r="Z35" s="169" t="n"/>
    </row>
    <row r="36" ht="12.75" customHeight="1" s="171">
      <c r="A36" s="99" t="n"/>
      <c r="B36" s="100" t="n">
        <v>26</v>
      </c>
      <c r="C36" s="107">
        <f>Booking!B2</f>
        <v/>
      </c>
      <c r="D36" s="108">
        <f>COUNTIF(Booking!$F$12:$F$997,"Passed")</f>
        <v/>
      </c>
      <c r="E36" s="108">
        <f>COUNTIF(Booking!$F$12:$F$997,"Failed")</f>
        <v/>
      </c>
      <c r="F36" s="108">
        <f>COUNTIF(Booking!$F$12:$F$997,"Pending")</f>
        <v/>
      </c>
      <c r="G36" s="108">
        <f>COUNTIF(Booking!$F$12:$F$997,"N/A")</f>
        <v/>
      </c>
      <c r="H36" s="109">
        <f>Booking!B4</f>
        <v/>
      </c>
      <c r="I36" s="104" t="n"/>
      <c r="J36" s="169" t="n"/>
      <c r="K36" s="169" t="n"/>
      <c r="L36" s="169" t="n"/>
      <c r="M36" s="169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169" t="n"/>
      <c r="W36" s="169" t="n"/>
      <c r="X36" s="169" t="n"/>
      <c r="Y36" s="169" t="n"/>
      <c r="Z36" s="169" t="n"/>
    </row>
    <row r="37" ht="12.75" customHeight="1" s="171">
      <c r="A37" s="99" t="n"/>
      <c r="B37" s="100" t="n">
        <v>27</v>
      </c>
      <c r="C37" s="107">
        <f>'Admin Dashboard'!B2</f>
        <v/>
      </c>
      <c r="D37" s="108">
        <f>COUNTIF('Admin Dashboard'!$F$12:$F$997,"Passed")</f>
        <v/>
      </c>
      <c r="E37" s="108">
        <f>COUNTIF('Admin Dashboard'!$F$12:$F$997,"Failed")</f>
        <v/>
      </c>
      <c r="F37" s="108">
        <f>COUNTIF('Admin Dashboard'!$F$12:$F$997,"Pending")</f>
        <v/>
      </c>
      <c r="G37" s="108">
        <f>COUNTIF('Admin Dashboard'!$F$12:$F$997,"N/A")</f>
        <v/>
      </c>
      <c r="H37" s="109">
        <f>'Admin Dashboard'!B4</f>
        <v/>
      </c>
      <c r="I37" s="104" t="n"/>
      <c r="J37" s="169" t="n"/>
      <c r="K37" s="169" t="n"/>
      <c r="L37" s="169" t="n"/>
      <c r="M37" s="169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169" t="n"/>
      <c r="W37" s="169" t="n"/>
      <c r="X37" s="169" t="n"/>
      <c r="Y37" s="169" t="n"/>
      <c r="Z37" s="169" t="n"/>
    </row>
    <row r="38" ht="12.75" customHeight="1" s="171">
      <c r="A38" s="99" t="n"/>
      <c r="B38" s="100" t="n">
        <v>28</v>
      </c>
      <c r="C38" s="107">
        <f>'Admin Vocab Grammar'!B2</f>
        <v/>
      </c>
      <c r="D38" s="108">
        <f>COUNTIF('Admin Vocab Grammar'!$F$12:$F$997,"Passed")</f>
        <v/>
      </c>
      <c r="E38" s="108">
        <f>COUNTIF('Admin Vocab Grammar'!$F$12:$F$997,"Failed")</f>
        <v/>
      </c>
      <c r="F38" s="108">
        <f>COUNTIF('Admin Vocab Grammar'!$F$12:$F$997,"Pending")</f>
        <v/>
      </c>
      <c r="G38" s="108">
        <f>COUNTIF('Admin Vocab Grammar'!$F$12:$F$997,"N/A")</f>
        <v/>
      </c>
      <c r="H38" s="109">
        <f>'Admin Vocab Grammar'!B4</f>
        <v/>
      </c>
      <c r="I38" s="104" t="n"/>
      <c r="J38" s="169" t="n"/>
      <c r="K38" s="169" t="n"/>
      <c r="L38" s="169" t="n"/>
      <c r="M38" s="169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169" t="n"/>
      <c r="W38" s="169" t="n"/>
      <c r="X38" s="169" t="n"/>
      <c r="Y38" s="169" t="n"/>
      <c r="Z38" s="169" t="n"/>
    </row>
    <row r="39" ht="12.75" customHeight="1" s="171">
      <c r="A39" s="99" t="n"/>
      <c r="B39" s="100" t="n">
        <v>29</v>
      </c>
      <c r="C39" s="107">
        <f>'Admin Settings'!B2</f>
        <v/>
      </c>
      <c r="D39" s="108">
        <f>COUNTIF('Admin Settings'!$F$12:$F$997,"Passed")</f>
        <v/>
      </c>
      <c r="E39" s="108">
        <f>COUNTIF('Admin Settings'!$F$12:$F$997,"Failed")</f>
        <v/>
      </c>
      <c r="F39" s="108">
        <f>COUNTIF('Admin Settings'!$F$12:$F$997,"Pending")</f>
        <v/>
      </c>
      <c r="G39" s="108">
        <f>COUNTIF('Admin Settings'!$F$12:$F$997,"N/A")</f>
        <v/>
      </c>
      <c r="H39" s="109">
        <f>'Admin Settings'!B4</f>
        <v/>
      </c>
      <c r="I39" s="104" t="n"/>
      <c r="J39" s="169" t="n"/>
      <c r="K39" s="169" t="n"/>
      <c r="L39" s="169" t="n"/>
      <c r="M39" s="169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169" t="n"/>
      <c r="W39" s="169" t="n"/>
      <c r="X39" s="169" t="n"/>
      <c r="Y39" s="169" t="n"/>
      <c r="Z39" s="169" t="n"/>
    </row>
    <row r="40" ht="12.75" customHeight="1" s="171">
      <c r="A40" s="99" t="n"/>
      <c r="B40" s="100" t="n">
        <v>30</v>
      </c>
      <c r="C40" s="107">
        <f>'Admin Exams'!B2</f>
        <v/>
      </c>
      <c r="D40" s="108">
        <f>COUNTIF('Admin Exams'!$F$12:$F$997,"Passed")</f>
        <v/>
      </c>
      <c r="E40" s="108">
        <f>COUNTIF('Admin Exams'!$F$12:$F$997,"Failed")</f>
        <v/>
      </c>
      <c r="F40" s="108">
        <f>COUNTIF('Admin Exams'!$F$12:$F$997,"Pending")</f>
        <v/>
      </c>
      <c r="G40" s="108">
        <f>COUNTIF('Admin Exams'!$F$12:$F$997,"N/A")</f>
        <v/>
      </c>
      <c r="H40" s="109">
        <f>'Admin Exams'!B4</f>
        <v/>
      </c>
      <c r="I40" s="104" t="n"/>
      <c r="J40" s="169" t="n"/>
      <c r="K40" s="169" t="n"/>
      <c r="L40" s="169" t="n"/>
      <c r="M40" s="169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169" t="n"/>
      <c r="W40" s="169" t="n"/>
      <c r="X40" s="169" t="n"/>
      <c r="Y40" s="169" t="n"/>
      <c r="Z40" s="169" t="n"/>
    </row>
    <row r="41" ht="12.75" customHeight="1" s="171">
      <c r="A41" s="99" t="n"/>
      <c r="B41" s="100" t="n">
        <v>31</v>
      </c>
      <c r="C41" s="107">
        <f>'Admin Practice'!B2</f>
        <v/>
      </c>
      <c r="D41" s="108">
        <f>COUNTIF('Admin Practice'!$F$12:$F$997,"Passed")</f>
        <v/>
      </c>
      <c r="E41" s="108">
        <f>COUNTIF('Admin Practice'!$F$12:$F$997,"Failed")</f>
        <v/>
      </c>
      <c r="F41" s="108">
        <f>COUNTIF('Admin Practice'!$F$12:$F$997,"Pending")</f>
        <v/>
      </c>
      <c r="G41" s="108">
        <f>COUNTIF('Admin Practice'!$F$12:$F$997,"N/A")</f>
        <v/>
      </c>
      <c r="H41" s="109">
        <f>'Admin Practice'!B4</f>
        <v/>
      </c>
      <c r="I41" s="104" t="n"/>
      <c r="J41" s="169" t="n"/>
      <c r="K41" s="169" t="n"/>
      <c r="L41" s="169" t="n"/>
      <c r="M41" s="169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169" t="n"/>
      <c r="W41" s="169" t="n"/>
      <c r="X41" s="169" t="n"/>
      <c r="Y41" s="169" t="n"/>
      <c r="Z41" s="169" t="n"/>
    </row>
    <row r="42" ht="12.75" customHeight="1" s="171">
      <c r="A42" s="99" t="n"/>
      <c r="B42" s="100" t="n">
        <v>32</v>
      </c>
      <c r="C42" s="107">
        <f>'Admin Users'!B2</f>
        <v/>
      </c>
      <c r="D42" s="108">
        <f>COUNTIF('Admin Users'!$F$12:$F$997,"Passed")</f>
        <v/>
      </c>
      <c r="E42" s="108">
        <f>COUNTIF('Admin Users'!$F$12:$F$997,"Failed")</f>
        <v/>
      </c>
      <c r="F42" s="108">
        <f>COUNTIF('Admin Users'!$F$12:$F$997,"Pending")</f>
        <v/>
      </c>
      <c r="G42" s="108">
        <f>COUNTIF('Admin Users'!$F$12:$F$997,"N/A")</f>
        <v/>
      </c>
      <c r="H42" s="109">
        <f>'Admin Users'!B4</f>
        <v/>
      </c>
      <c r="I42" s="104" t="n"/>
      <c r="J42" s="169" t="n"/>
      <c r="K42" s="169" t="n"/>
      <c r="L42" s="169" t="n"/>
      <c r="M42" s="169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169" t="n"/>
      <c r="W42" s="169" t="n"/>
      <c r="X42" s="169" t="n"/>
      <c r="Y42" s="169" t="n"/>
      <c r="Z42" s="169" t="n"/>
    </row>
    <row r="43" ht="12.75" customHeight="1" s="171">
      <c r="A43" s="99" t="n"/>
      <c r="B43" s="100" t="n">
        <v>33</v>
      </c>
      <c r="C43" s="107">
        <f>'Admin Courses'!B2</f>
        <v/>
      </c>
      <c r="D43" s="108">
        <f>COUNTIF('Admin Courses'!$F$12:$F$997,"Passed")</f>
        <v/>
      </c>
      <c r="E43" s="108">
        <f>COUNTIF('Admin Courses'!$F$12:$F$997,"Failed")</f>
        <v/>
      </c>
      <c r="F43" s="108">
        <f>COUNTIF('Admin Courses'!$F$12:$F$997,"Pending")</f>
        <v/>
      </c>
      <c r="G43" s="108">
        <f>COUNTIF('Admin Courses'!$F$12:$F$997,"N/A")</f>
        <v/>
      </c>
      <c r="H43" s="109">
        <f>'Admin Courses'!B4</f>
        <v/>
      </c>
      <c r="I43" s="104" t="n"/>
      <c r="J43" s="169" t="n"/>
      <c r="K43" s="169" t="n"/>
      <c r="L43" s="169" t="n"/>
      <c r="M43" s="169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169" t="n"/>
      <c r="W43" s="169" t="n"/>
      <c r="X43" s="169" t="n"/>
      <c r="Y43" s="169" t="n"/>
      <c r="Z43" s="169" t="n"/>
    </row>
    <row r="44" ht="12.75" customHeight="1" s="171">
      <c r="A44" s="99" t="n"/>
      <c r="B44" s="100" t="n">
        <v>34</v>
      </c>
      <c r="C44" s="107">
        <f>Teacher!B2</f>
        <v/>
      </c>
      <c r="D44" s="108">
        <f>COUNTIF(Teacher!$F$12:$F$997,"Passed")</f>
        <v/>
      </c>
      <c r="E44" s="108">
        <f>COUNTIF(Teacher!$F$12:$F$997,"Failed")</f>
        <v/>
      </c>
      <c r="F44" s="108">
        <f>COUNTIF(Teacher!$F$12:$F$997,"Pending")</f>
        <v/>
      </c>
      <c r="G44" s="108">
        <f>COUNTIF(Teacher!$F$12:$F$997,"N/A")</f>
        <v/>
      </c>
      <c r="H44" s="109">
        <f>Teacher!B4</f>
        <v/>
      </c>
      <c r="I44" s="104" t="n"/>
      <c r="J44" s="169" t="n"/>
      <c r="K44" s="169" t="n"/>
      <c r="L44" s="169" t="n"/>
      <c r="M44" s="169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169" t="n"/>
      <c r="W44" s="169" t="n"/>
      <c r="X44" s="169" t="n"/>
      <c r="Y44" s="169" t="n"/>
      <c r="Z44" s="169" t="n"/>
    </row>
    <row r="45" ht="12.75" customHeight="1" s="171">
      <c r="A45" s="99" t="n"/>
      <c r="B45" s="100" t="n">
        <v>35</v>
      </c>
      <c r="C45" s="107">
        <f>'Grading AI'!B2</f>
        <v/>
      </c>
      <c r="D45" s="108">
        <f>COUNTIF('Grading AI'!$F$12:$F$997,"Passed")</f>
        <v/>
      </c>
      <c r="E45" s="108">
        <f>COUNTIF('Grading AI'!$F$12:$F$997,"Failed")</f>
        <v/>
      </c>
      <c r="F45" s="108">
        <f>COUNTIF('Grading AI'!$F$12:$F$997,"Pending")</f>
        <v/>
      </c>
      <c r="G45" s="108">
        <f>COUNTIF('Grading AI'!$F$12:$F$997,"N/A")</f>
        <v/>
      </c>
      <c r="H45" s="109">
        <f>'Grading AI'!B4</f>
        <v/>
      </c>
      <c r="I45" s="104" t="n"/>
      <c r="J45" s="169" t="n"/>
      <c r="K45" s="169" t="n"/>
      <c r="L45" s="169" t="n"/>
      <c r="M45" s="169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169" t="n"/>
      <c r="W45" s="169" t="n"/>
      <c r="X45" s="169" t="n"/>
      <c r="Y45" s="169" t="n"/>
      <c r="Z45" s="169" t="n"/>
    </row>
    <row r="46" ht="12.75" customHeight="1" s="171">
      <c r="A46" s="99" t="n"/>
      <c r="B46" s="100" t="n">
        <v>36</v>
      </c>
      <c r="C46" s="107">
        <f>System!B2</f>
        <v/>
      </c>
      <c r="D46" s="108">
        <f>COUNTIF(System!$F$12:$F$997,"Passed")</f>
        <v/>
      </c>
      <c r="E46" s="108">
        <f>COUNTIF(System!$F$12:$F$997,"Failed")</f>
        <v/>
      </c>
      <c r="F46" s="108">
        <f>COUNTIF(System!$F$12:$F$997,"Pending")</f>
        <v/>
      </c>
      <c r="G46" s="108">
        <f>COUNTIF(System!$F$12:$F$997,"N/A")</f>
        <v/>
      </c>
      <c r="H46" s="109">
        <f>System!B4</f>
        <v/>
      </c>
      <c r="I46" s="104" t="n"/>
      <c r="J46" s="169" t="n"/>
      <c r="K46" s="169" t="n"/>
      <c r="L46" s="169" t="n"/>
      <c r="M46" s="169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169" t="n"/>
      <c r="W46" s="169" t="n"/>
      <c r="X46" s="169" t="n"/>
      <c r="Y46" s="169" t="n"/>
      <c r="Z46" s="169" t="n"/>
    </row>
    <row r="47" ht="12.75" customHeight="1" s="171">
      <c r="A47" s="99" t="n"/>
      <c r="B47" s="100" t="n">
        <v>37</v>
      </c>
      <c r="C47" s="107">
        <f>'Non-functional'!B2</f>
        <v/>
      </c>
      <c r="D47" s="108">
        <f>COUNTIF('Non-functional'!$F$12:$F$997,"Passed")</f>
        <v/>
      </c>
      <c r="E47" s="108">
        <f>COUNTIF('Non-functional'!$F$12:$F$997,"Failed")</f>
        <v/>
      </c>
      <c r="F47" s="108">
        <f>COUNTIF('Non-functional'!$F$12:$F$997,"Pending")</f>
        <v/>
      </c>
      <c r="G47" s="108">
        <f>COUNTIF('Non-functional'!$F$12:$F$997,"N/A")</f>
        <v/>
      </c>
      <c r="H47" s="109">
        <f>'Non-functional'!B4</f>
        <v/>
      </c>
      <c r="I47" s="169" t="n"/>
      <c r="J47" s="169" t="n"/>
      <c r="K47" s="169" t="n"/>
      <c r="L47" s="169" t="n"/>
      <c r="M47" s="169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169" t="n"/>
      <c r="W47" s="169" t="n"/>
      <c r="X47" s="169" t="n"/>
      <c r="Y47" s="169" t="n"/>
      <c r="Z47" s="169" t="n"/>
    </row>
    <row r="48" ht="12.75" customHeight="1" s="171">
      <c r="A48" s="93" t="n"/>
      <c r="B48" s="111" t="n"/>
      <c r="C48" s="112" t="inlineStr">
        <is>
          <t>Sub total</t>
        </is>
      </c>
      <c r="D48" s="113">
        <f>SUM(D11:D47)</f>
        <v/>
      </c>
      <c r="E48" s="113">
        <f>SUM(E11:E47)</f>
        <v/>
      </c>
      <c r="F48" s="113">
        <f>SUM(F11:F47)</f>
        <v/>
      </c>
      <c r="G48" s="113">
        <f>SUM(G11:G47)</f>
        <v/>
      </c>
      <c r="H48" s="114">
        <f>SUM(H11:H47)</f>
        <v/>
      </c>
    </row>
    <row r="49" ht="12.75" customHeight="1" s="171">
      <c r="A49" s="169" t="n"/>
      <c r="B49" s="115" t="n"/>
      <c r="C49" s="169" t="n"/>
      <c r="D49" s="116" t="n"/>
      <c r="E49" s="117" t="n"/>
      <c r="F49" s="117" t="n"/>
      <c r="G49" s="117" t="n"/>
      <c r="H49" s="117" t="n"/>
    </row>
    <row r="50" ht="12.75" customHeight="1" s="171">
      <c r="A50" s="169" t="n"/>
      <c r="B50" s="169" t="n"/>
      <c r="C50" s="8" t="inlineStr">
        <is>
          <t>Test coverage</t>
        </is>
      </c>
      <c r="D50" s="169" t="n"/>
      <c r="E50" s="118">
        <f>(D48+E48)*100/(H48-G48)</f>
        <v/>
      </c>
      <c r="F50" s="169" t="inlineStr">
        <is>
          <t>%</t>
        </is>
      </c>
      <c r="G50" s="169" t="n"/>
      <c r="H50" s="119" t="n"/>
    </row>
    <row r="51" ht="12.75" customHeight="1" s="171">
      <c r="A51" s="169" t="n"/>
      <c r="B51" s="169" t="n"/>
      <c r="C51" s="8" t="inlineStr">
        <is>
          <t>Test successful coverage</t>
        </is>
      </c>
      <c r="D51" s="169" t="n"/>
      <c r="E51" s="118">
        <f>D48*100/(H48-G48)</f>
        <v/>
      </c>
      <c r="F51" s="169" t="inlineStr">
        <is>
          <t>%</t>
        </is>
      </c>
      <c r="G51" s="169" t="n"/>
      <c r="H51" s="119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Register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Register learner with email, onboarding data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Auth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AUTH-REG-001</t>
        </is>
      </c>
      <c r="B12" s="168" t="inlineStr">
        <is>
          <t>Register learner with valid email, password, onboarding data</t>
        </is>
      </c>
      <c r="C12" s="168" t="inlineStr">
        <is>
          <t>Clean test email</t>
        </is>
      </c>
      <c r="D12" s="161" t="inlineStr">
        <is>
          <t>POST `auth/register` with valid payload</t>
        </is>
      </c>
      <c r="E12" s="162" t="inlineStr">
        <is>
          <t>201, account + first profile created, tokens returned</t>
        </is>
      </c>
      <c r="F12" s="157" t="inlineStr">
        <is>
          <t>Passed</t>
        </is>
      </c>
      <c r="G12" s="156" t="n">
        <v>46127</v>
      </c>
      <c r="H12" s="157" t="inlineStr">
        <is>
          <t>Nguyễn Nhật Phát</t>
        </is>
      </c>
      <c r="I12" s="157" t="inlineStr">
        <is>
          <t>Passed</t>
        </is>
      </c>
      <c r="J12" s="156" t="n">
        <v>46134</v>
      </c>
      <c r="K12" s="157" t="inlineStr">
        <is>
          <t>Nguyễn Trần Tấn Phát</t>
        </is>
      </c>
      <c r="L12" s="157" t="inlineStr">
        <is>
          <t>Passed</t>
        </is>
      </c>
      <c r="M12" s="156" t="n">
        <v>46141</v>
      </c>
      <c r="N12" s="157" t="inlineStr">
        <is>
          <t>Nguyễn Minh Khôi</t>
        </is>
      </c>
      <c r="O12" s="157" t="n"/>
    </row>
    <row r="13" ht="54" customHeight="1" s="171">
      <c r="A13" s="157" t="inlineStr">
        <is>
          <t>AUTH-REG-002</t>
        </is>
      </c>
      <c r="B13" s="157" t="inlineStr">
        <is>
          <t>Register rejects existing email</t>
        </is>
      </c>
      <c r="C13" s="157" t="inlineStr">
        <is>
          <t>Email already registered</t>
        </is>
      </c>
      <c r="D13" s="161" t="inlineStr">
        <is>
          <t>POST `auth/register` with duplicate email</t>
        </is>
      </c>
      <c r="E13" s="161" t="inlineStr">
        <is>
          <t>422, error message returned</t>
        </is>
      </c>
      <c r="F13" s="157" t="inlineStr">
        <is>
          <t>Passed</t>
        </is>
      </c>
      <c r="G13" s="156" t="n">
        <v>46127</v>
      </c>
      <c r="H13" s="157" t="inlineStr">
        <is>
          <t>Nguyễn Trần Tấn Phát</t>
        </is>
      </c>
      <c r="I13" s="157" t="inlineStr">
        <is>
          <t>Passed</t>
        </is>
      </c>
      <c r="J13" s="156" t="n">
        <v>46134</v>
      </c>
      <c r="K13" s="157" t="inlineStr">
        <is>
          <t>Nguyễn Minh Khôi</t>
        </is>
      </c>
      <c r="L13" s="157" t="inlineStr">
        <is>
          <t>Passed</t>
        </is>
      </c>
      <c r="M13" s="156" t="n">
        <v>46141</v>
      </c>
      <c r="N13" s="157" t="inlineStr">
        <is>
          <t>Hoàng Văn Anh Nghĩa</t>
        </is>
      </c>
      <c r="O13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Login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Login with email/password, session, redirect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Auth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AUTH-LOGIN-001</t>
        </is>
      </c>
      <c r="B12" s="168" t="inlineStr">
        <is>
          <t>Login learner with correct credentials</t>
        </is>
      </c>
      <c r="C12" s="168" t="inlineStr">
        <is>
          <t>Learner account exists</t>
        </is>
      </c>
      <c r="D12" s="161" t="inlineStr">
        <is>
          <t>POST `auth/login` with valid email/password</t>
        </is>
      </c>
      <c r="E12" s="162" t="inlineStr">
        <is>
          <t>200, access_token, refresh_token, user, profile returned</t>
        </is>
      </c>
      <c r="F12" s="157" t="inlineStr">
        <is>
          <t>Passed</t>
        </is>
      </c>
      <c r="G12" s="156" t="n">
        <v>46127</v>
      </c>
      <c r="H12" s="157" t="inlineStr">
        <is>
          <t>Nguyễn Trần Tấn Phát</t>
        </is>
      </c>
      <c r="I12" s="157" t="inlineStr">
        <is>
          <t>Passed</t>
        </is>
      </c>
      <c r="J12" s="156" t="n">
        <v>46134</v>
      </c>
      <c r="K12" s="157" t="inlineStr">
        <is>
          <t>Nguyễn Minh Khôi</t>
        </is>
      </c>
      <c r="L12" s="157" t="inlineStr">
        <is>
          <t>Passed</t>
        </is>
      </c>
      <c r="M12" s="156" t="n">
        <v>46141</v>
      </c>
      <c r="N12" s="157" t="inlineStr">
        <is>
          <t>Hoàng Văn Anh Nghĩa</t>
        </is>
      </c>
      <c r="O12" s="157" t="n"/>
    </row>
    <row r="13" ht="54" customHeight="1" s="171">
      <c r="A13" s="157" t="inlineStr">
        <is>
          <t>AUTH-LOGIN-002</t>
        </is>
      </c>
      <c r="B13" s="157" t="inlineStr">
        <is>
          <t>Login returns null profile for admin</t>
        </is>
      </c>
      <c r="C13" s="157" t="inlineStr">
        <is>
          <t>Admin account exists</t>
        </is>
      </c>
      <c r="D13" s="161" t="inlineStr">
        <is>
          <t>POST `auth/login` with admin credentials</t>
        </is>
      </c>
      <c r="E13" s="161" t="inlineStr">
        <is>
          <t>200, profile field is null</t>
        </is>
      </c>
      <c r="F13" s="157" t="inlineStr">
        <is>
          <t>Passed</t>
        </is>
      </c>
      <c r="G13" s="156" t="n">
        <v>46127</v>
      </c>
      <c r="H13" s="157" t="inlineStr">
        <is>
          <t>Nguyễn Minh Khôi</t>
        </is>
      </c>
      <c r="I13" s="157" t="inlineStr">
        <is>
          <t>Passed</t>
        </is>
      </c>
      <c r="J13" s="156" t="n">
        <v>46134</v>
      </c>
      <c r="K13" s="157" t="inlineStr">
        <is>
          <t>Hoàng Văn Anh Nghĩa</t>
        </is>
      </c>
      <c r="L13" s="157" t="inlineStr">
        <is>
          <t>Passed</t>
        </is>
      </c>
      <c r="M13" s="156" t="n">
        <v>46141</v>
      </c>
      <c r="N13" s="157" t="inlineStr">
        <is>
          <t>Nguyễn Nhật Phát</t>
        </is>
      </c>
      <c r="O13" s="157" t="n"/>
    </row>
    <row r="14" ht="54" customHeight="1" s="171">
      <c r="A14" s="157" t="inlineStr">
        <is>
          <t>AUTH-LOGIN-003</t>
        </is>
      </c>
      <c r="B14" s="157" t="inlineStr">
        <is>
          <t>Login rejects wrong password</t>
        </is>
      </c>
      <c r="C14" s="157" t="inlineStr">
        <is>
          <t>Learner account exists</t>
        </is>
      </c>
      <c r="D14" s="161" t="inlineStr">
        <is>
          <t>POST `auth/login` with wrong password</t>
        </is>
      </c>
      <c r="E14" s="161" t="inlineStr">
        <is>
          <t>422, invalid credentials error</t>
        </is>
      </c>
      <c r="F14" s="157" t="inlineStr">
        <is>
          <t>Passed</t>
        </is>
      </c>
      <c r="G14" s="156" t="n">
        <v>46127</v>
      </c>
      <c r="H14" s="157" t="inlineStr">
        <is>
          <t>Hoàng Văn Anh Nghĩa</t>
        </is>
      </c>
      <c r="I14" s="157" t="inlineStr">
        <is>
          <t>Passed</t>
        </is>
      </c>
      <c r="J14" s="156" t="n">
        <v>46134</v>
      </c>
      <c r="K14" s="157" t="inlineStr">
        <is>
          <t>Nguyễn Nhật Phát</t>
        </is>
      </c>
      <c r="L14" s="157" t="inlineStr">
        <is>
          <t>Passed</t>
        </is>
      </c>
      <c r="M14" s="156" t="n">
        <v>46141</v>
      </c>
      <c r="N14" s="157" t="inlineStr">
        <is>
          <t>Nguyễn Trần Tấn Phát</t>
        </is>
      </c>
      <c r="O14" s="157" t="n"/>
    </row>
    <row r="15" ht="54" customHeight="1" s="171">
      <c r="A15" s="157" t="inlineStr">
        <is>
          <t>AUTH-LOGIN-005</t>
        </is>
      </c>
      <c r="B15" s="157" t="inlineStr">
        <is>
          <t>Login frontend overlay opens via search param</t>
        </is>
      </c>
      <c r="C15" s="157" t="inlineStr">
        <is>
          <t>Frontend app running</t>
        </is>
      </c>
      <c r="D15" s="161" t="inlineStr">
        <is>
          <t>Navigate to `/?auth=login`</t>
        </is>
      </c>
      <c r="E15" s="161" t="inlineStr">
        <is>
          <t>Landing overlay shows login form</t>
        </is>
      </c>
      <c r="F15" s="157" t="inlineStr">
        <is>
          <t>Passed</t>
        </is>
      </c>
      <c r="G15" s="156" t="n">
        <v>46127</v>
      </c>
      <c r="H15" s="157" t="inlineStr">
        <is>
          <t>Nguyễn Nhật Phát</t>
        </is>
      </c>
      <c r="I15" s="157" t="inlineStr">
        <is>
          <t>Passed</t>
        </is>
      </c>
      <c r="J15" s="156" t="n">
        <v>46134</v>
      </c>
      <c r="K15" s="157" t="inlineStr">
        <is>
          <t>Nguyễn Trần Tấn Phát</t>
        </is>
      </c>
      <c r="L15" s="157" t="inlineStr">
        <is>
          <t>Passed</t>
        </is>
      </c>
      <c r="M15" s="156" t="n">
        <v>46141</v>
      </c>
      <c r="N15" s="157" t="inlineStr">
        <is>
          <t>Nguyễn Minh Khôi</t>
        </is>
      </c>
      <c r="O15" s="157" t="n"/>
    </row>
    <row r="16" ht="54" customHeight="1" s="171">
      <c r="A16" s="157" t="inlineStr">
        <is>
          <t>AUTH-LOGIN-006</t>
        </is>
      </c>
      <c r="B16" s="157" t="inlineStr">
        <is>
          <t>Login frontend redirects to dashboard after success</t>
        </is>
      </c>
      <c r="C16" s="157" t="inlineStr">
        <is>
          <t>Valid learner in login form</t>
        </is>
      </c>
      <c r="D16" s="161" t="inlineStr">
        <is>
          <t>Submit login</t>
        </is>
      </c>
      <c r="E16" s="161" t="inlineStr">
        <is>
          <t>Redirect to `/dashboard`</t>
        </is>
      </c>
      <c r="F16" s="157" t="inlineStr">
        <is>
          <t>Passed</t>
        </is>
      </c>
      <c r="G16" s="156" t="n">
        <v>46127</v>
      </c>
      <c r="H16" s="157" t="inlineStr">
        <is>
          <t>Nguyễn Trần Tấn Phát</t>
        </is>
      </c>
      <c r="I16" s="157" t="inlineStr">
        <is>
          <t>Passed</t>
        </is>
      </c>
      <c r="J16" s="156" t="n">
        <v>46134</v>
      </c>
      <c r="K16" s="157" t="inlineStr">
        <is>
          <t>Nguyễn Minh Khôi</t>
        </is>
      </c>
      <c r="L16" s="157" t="inlineStr">
        <is>
          <t>Passed</t>
        </is>
      </c>
      <c r="M16" s="156" t="n">
        <v>46141</v>
      </c>
      <c r="N16" s="157" t="inlineStr">
        <is>
          <t>Hoàng Văn Anh Nghĩa</t>
        </is>
      </c>
      <c r="O16" s="157" t="n"/>
    </row>
    <row r="17" ht="54" customHeight="1" s="171">
      <c r="A17" s="157" t="inlineStr">
        <is>
          <t>AUTH-LOGIN-008</t>
        </is>
      </c>
      <c r="B17" s="157" t="inlineStr">
        <is>
          <t>Login frontend rejects non-learner role</t>
        </is>
      </c>
      <c r="C17" s="157" t="inlineStr">
        <is>
          <t>Admin account</t>
        </is>
      </c>
      <c r="D17" s="161" t="inlineStr">
        <is>
          <t>Submit admin login on learner frontend</t>
        </is>
      </c>
      <c r="E17" s="161" t="inlineStr">
        <is>
          <t>Tokens cleared, `roleRejected` set, user stays unauthenticated</t>
        </is>
      </c>
      <c r="F17" s="157" t="inlineStr">
        <is>
          <t>Passed</t>
        </is>
      </c>
      <c r="G17" s="156" t="n">
        <v>46127</v>
      </c>
      <c r="H17" s="157" t="inlineStr">
        <is>
          <t>Nguyễn Minh Khôi</t>
        </is>
      </c>
      <c r="I17" s="157" t="inlineStr">
        <is>
          <t>Passed</t>
        </is>
      </c>
      <c r="J17" s="156" t="n">
        <v>46134</v>
      </c>
      <c r="K17" s="157" t="inlineStr">
        <is>
          <t>Hoàng Văn Anh Nghĩa</t>
        </is>
      </c>
      <c r="L17" s="157" t="inlineStr">
        <is>
          <t>Passed</t>
        </is>
      </c>
      <c r="M17" s="156" t="n">
        <v>46141</v>
      </c>
      <c r="N17" s="157" t="inlineStr">
        <is>
          <t>Nguyễn Nhật Phát</t>
        </is>
      </c>
      <c r="O17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Google Login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Google Sign-In integration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Auth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AUTH-GOOGLE-001</t>
        </is>
      </c>
      <c r="B12" s="168" t="inlineStr">
        <is>
          <t>Google login for existing learner with profile</t>
        </is>
      </c>
      <c r="C12" s="168" t="inlineStr">
        <is>
          <t>Google ID token valid, learner exists with profile</t>
        </is>
      </c>
      <c r="D12" s="161" t="inlineStr">
        <is>
          <t>POST `auth/google` with valid token</t>
        </is>
      </c>
      <c r="E12" s="162" t="inlineStr">
        <is>
          <t>200, tokens + user + profile returned</t>
        </is>
      </c>
      <c r="F12" s="157" t="inlineStr">
        <is>
          <t>Passed</t>
        </is>
      </c>
      <c r="G12" s="156" t="n">
        <v>46127</v>
      </c>
      <c r="H12" s="157" t="inlineStr">
        <is>
          <t>Nguyễn Minh Khôi</t>
        </is>
      </c>
      <c r="I12" s="157" t="inlineStr">
        <is>
          <t>Passed</t>
        </is>
      </c>
      <c r="J12" s="156" t="n">
        <v>46134</v>
      </c>
      <c r="K12" s="157" t="inlineStr">
        <is>
          <t>Hoàng Văn Anh Nghĩa</t>
        </is>
      </c>
      <c r="L12" s="157" t="inlineStr">
        <is>
          <t>Passed</t>
        </is>
      </c>
      <c r="M12" s="156" t="n">
        <v>46141</v>
      </c>
      <c r="N12" s="157" t="inlineStr">
        <is>
          <t>Nguyễn Nhật Phát</t>
        </is>
      </c>
      <c r="O12" s="157" t="n"/>
    </row>
    <row r="13" ht="54" customHeight="1" s="171">
      <c r="A13" s="157" t="inlineStr">
        <is>
          <t>AUTH-GOOGLE-003</t>
        </is>
      </c>
      <c r="B13" s="157" t="inlineStr">
        <is>
          <t>Google login conflict account exists with different method</t>
        </is>
      </c>
      <c r="C13" s="157" t="inlineStr">
        <is>
          <t>Email already registered via password</t>
        </is>
      </c>
      <c r="D13" s="161" t="inlineStr">
        <is>
          <t>POST `auth/google`</t>
        </is>
      </c>
      <c r="E13" s="161" t="inlineStr">
        <is>
          <t>409, conflict error</t>
        </is>
      </c>
      <c r="F13" s="157" t="inlineStr">
        <is>
          <t>Passed</t>
        </is>
      </c>
      <c r="G13" s="156" t="n">
        <v>46127</v>
      </c>
      <c r="H13" s="157" t="inlineStr">
        <is>
          <t>Hoàng Văn Anh Nghĩa</t>
        </is>
      </c>
      <c r="I13" s="157" t="inlineStr">
        <is>
          <t>Passed</t>
        </is>
      </c>
      <c r="J13" s="156" t="n">
        <v>46134</v>
      </c>
      <c r="K13" s="157" t="inlineStr">
        <is>
          <t>Nguyễn Nhật Phát</t>
        </is>
      </c>
      <c r="L13" s="157" t="inlineStr">
        <is>
          <t>Passed</t>
        </is>
      </c>
      <c r="M13" s="156" t="n">
        <v>46141</v>
      </c>
      <c r="N13" s="157" t="inlineStr">
        <is>
          <t>Nguyễn Trần Tấn Phát</t>
        </is>
      </c>
      <c r="O13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Session &amp; Refresh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Token refresh, logout, lifecycle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Auth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AUTH-SESS-001</t>
        </is>
      </c>
      <c r="B12" s="168" t="inlineStr">
        <is>
          <t>Refresh token returns new access token</t>
        </is>
      </c>
      <c r="C12" s="168" t="inlineStr">
        <is>
          <t>Valid refresh token</t>
        </is>
      </c>
      <c r="D12" s="161" t="inlineStr">
        <is>
          <t>POST `auth/refresh`</t>
        </is>
      </c>
      <c r="E12" s="162" t="inlineStr">
        <is>
          <t>200, new access_token + refresh_token</t>
        </is>
      </c>
      <c r="F12" s="157" t="inlineStr">
        <is>
          <t>Passed</t>
        </is>
      </c>
      <c r="G12" s="156" t="n">
        <v>46127</v>
      </c>
      <c r="H12" s="157" t="inlineStr">
        <is>
          <t>Hoàng Văn Anh Nghĩa</t>
        </is>
      </c>
      <c r="I12" s="157" t="inlineStr">
        <is>
          <t>Passed</t>
        </is>
      </c>
      <c r="J12" s="156" t="n">
        <v>46134</v>
      </c>
      <c r="K12" s="157" t="inlineStr">
        <is>
          <t>Nguyễn Nhật Phát</t>
        </is>
      </c>
      <c r="L12" s="157" t="inlineStr">
        <is>
          <t>Passed</t>
        </is>
      </c>
      <c r="M12" s="156" t="n">
        <v>46141</v>
      </c>
      <c r="N12" s="157" t="inlineStr">
        <is>
          <t>Nguyễn Trần Tấn Phát</t>
        </is>
      </c>
      <c r="O12" s="157" t="n"/>
    </row>
    <row r="13" ht="54" customHeight="1" s="171">
      <c r="A13" s="157" t="inlineStr">
        <is>
          <t>AUTH-SESS-002</t>
        </is>
      </c>
      <c r="B13" s="157" t="inlineStr">
        <is>
          <t>Expired/invalid refresh token clears session</t>
        </is>
      </c>
      <c r="C13" s="157" t="inlineStr">
        <is>
          <t>Invalid refresh token</t>
        </is>
      </c>
      <c r="D13" s="161" t="inlineStr">
        <is>
          <t>POST `auth/refresh`</t>
        </is>
      </c>
      <c r="E13" s="161" t="inlineStr">
        <is>
          <t>422, frontend clears tokens and shows expiration toast</t>
        </is>
      </c>
      <c r="F13" s="157" t="inlineStr">
        <is>
          <t>Passed</t>
        </is>
      </c>
      <c r="G13" s="156" t="n">
        <v>46127</v>
      </c>
      <c r="H13" s="157" t="inlineStr">
        <is>
          <t>Nguyễn Nhật Phát</t>
        </is>
      </c>
      <c r="I13" s="157" t="inlineStr">
        <is>
          <t>Passed</t>
        </is>
      </c>
      <c r="J13" s="156" t="n">
        <v>46134</v>
      </c>
      <c r="K13" s="157" t="inlineStr">
        <is>
          <t>Nguyễn Trần Tấn Phát</t>
        </is>
      </c>
      <c r="L13" s="157" t="inlineStr">
        <is>
          <t>Passed</t>
        </is>
      </c>
      <c r="M13" s="156" t="n">
        <v>46141</v>
      </c>
      <c r="N13" s="157" t="inlineStr">
        <is>
          <t>Nguyễn Minh Khôi</t>
        </is>
      </c>
      <c r="O13" s="157" t="n"/>
    </row>
    <row r="14" ht="54" customHeight="1" s="171">
      <c r="A14" s="157" t="inlineStr">
        <is>
          <t>AUTH-SESS-003</t>
        </is>
      </c>
      <c r="B14" s="157" t="inlineStr">
        <is>
          <t>Logout invalidates tokens</t>
        </is>
      </c>
      <c r="C14" s="157" t="inlineStr">
        <is>
          <t>Authenticated user</t>
        </is>
      </c>
      <c r="D14" s="161" t="inlineStr">
        <is>
          <t>POST `auth/logout`</t>
        </is>
      </c>
      <c r="E14" s="161" t="inlineStr">
        <is>
          <t>204 or 200, tokens no longer accepted</t>
        </is>
      </c>
      <c r="F14" s="157" t="inlineStr">
        <is>
          <t>Passed</t>
        </is>
      </c>
      <c r="G14" s="156" t="n">
        <v>46127</v>
      </c>
      <c r="H14" s="157" t="inlineStr">
        <is>
          <t>Nguyễn Trần Tấn Phát</t>
        </is>
      </c>
      <c r="I14" s="157" t="inlineStr">
        <is>
          <t>Passed</t>
        </is>
      </c>
      <c r="J14" s="156" t="n">
        <v>46134</v>
      </c>
      <c r="K14" s="157" t="inlineStr">
        <is>
          <t>Nguyễn Minh Khôi</t>
        </is>
      </c>
      <c r="L14" s="157" t="inlineStr">
        <is>
          <t>Passed</t>
        </is>
      </c>
      <c r="M14" s="156" t="n">
        <v>46141</v>
      </c>
      <c r="N14" s="157" t="inlineStr">
        <is>
          <t>Hoàng Văn Anh Nghĩa</t>
        </is>
      </c>
      <c r="O14" s="157" t="n"/>
    </row>
    <row r="15" ht="54" customHeight="1" s="171">
      <c r="A15" s="157" t="inlineStr">
        <is>
          <t>AUTH-SESS-004</t>
        </is>
      </c>
      <c r="B15" s="157" t="inlineStr">
        <is>
          <t>Protected API rejects missing token</t>
        </is>
      </c>
      <c r="C15" s="157" t="inlineStr">
        <is>
          <t>No token</t>
        </is>
      </c>
      <c r="D15" s="161" t="inlineStr">
        <is>
          <t>GET `wallet/balance`</t>
        </is>
      </c>
      <c r="E15" s="161" t="inlineStr">
        <is>
          <t>401</t>
        </is>
      </c>
      <c r="F15" s="157" t="inlineStr">
        <is>
          <t>Passed</t>
        </is>
      </c>
      <c r="G15" s="156" t="n">
        <v>46127</v>
      </c>
      <c r="H15" s="157" t="inlineStr">
        <is>
          <t>Nguyễn Minh Khôi</t>
        </is>
      </c>
      <c r="I15" s="157" t="inlineStr">
        <is>
          <t>Passed</t>
        </is>
      </c>
      <c r="J15" s="156" t="n">
        <v>46134</v>
      </c>
      <c r="K15" s="157" t="inlineStr">
        <is>
          <t>Hoàng Văn Anh Nghĩa</t>
        </is>
      </c>
      <c r="L15" s="157" t="inlineStr">
        <is>
          <t>Passed</t>
        </is>
      </c>
      <c r="M15" s="156" t="n">
        <v>46141</v>
      </c>
      <c r="N15" s="157" t="inlineStr">
        <is>
          <t>Nguyễn Nhật Phát</t>
        </is>
      </c>
      <c r="O15" s="157" t="n"/>
    </row>
    <row r="16" ht="54" customHeight="1" s="171">
      <c r="A16" s="157" t="inlineStr">
        <is>
          <t>AUTH-SESS-007</t>
        </is>
      </c>
      <c r="B16" s="157" t="inlineStr">
        <is>
          <t>Frontend redirects unauthenticated user to login</t>
        </is>
      </c>
      <c r="C16" s="157" t="inlineStr">
        <is>
          <t>No tokens</t>
        </is>
      </c>
      <c r="D16" s="161" t="inlineStr">
        <is>
          <t>Navigate to `/dashboard`</t>
        </is>
      </c>
      <c r="E16" s="161" t="inlineStr">
        <is>
          <t>Redirect to `/?auth=login&amp;redirect=/dashboard`</t>
        </is>
      </c>
      <c r="F16" s="157" t="inlineStr">
        <is>
          <t>Passed</t>
        </is>
      </c>
      <c r="G16" s="156" t="n">
        <v>46127</v>
      </c>
      <c r="H16" s="157" t="inlineStr">
        <is>
          <t>Hoàng Văn Anh Nghĩa</t>
        </is>
      </c>
      <c r="I16" s="157" t="inlineStr">
        <is>
          <t>Passed</t>
        </is>
      </c>
      <c r="J16" s="156" t="n">
        <v>46134</v>
      </c>
      <c r="K16" s="157" t="inlineStr">
        <is>
          <t>Nguyễn Nhật Phát</t>
        </is>
      </c>
      <c r="L16" s="157" t="inlineStr">
        <is>
          <t>Passed</t>
        </is>
      </c>
      <c r="M16" s="156" t="n">
        <v>46141</v>
      </c>
      <c r="N16" s="157" t="inlineStr">
        <is>
          <t>Nguyễn Trần Tấn Phát</t>
        </is>
      </c>
      <c r="O16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Profile CRUD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List, create, switch, update, onboarding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Profile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PROF-001</t>
        </is>
      </c>
      <c r="B12" s="168" t="inlineStr">
        <is>
          <t>List profiles for authenticated account</t>
        </is>
      </c>
      <c r="C12" s="168" t="inlineStr">
        <is>
          <t>Account with multiple profiles</t>
        </is>
      </c>
      <c r="D12" s="161" t="inlineStr">
        <is>
          <t>GET `profiles`</t>
        </is>
      </c>
      <c r="E12" s="162" t="inlineStr">
        <is>
          <t>200, list of owned profiles</t>
        </is>
      </c>
      <c r="F12" s="157" t="inlineStr">
        <is>
          <t>Passed</t>
        </is>
      </c>
      <c r="G12" s="156" t="n">
        <v>46127</v>
      </c>
      <c r="H12" s="157" t="inlineStr">
        <is>
          <t>Nguyễn Nhật Phát</t>
        </is>
      </c>
      <c r="I12" s="157" t="inlineStr">
        <is>
          <t>Passed</t>
        </is>
      </c>
      <c r="J12" s="156" t="n">
        <v>46134</v>
      </c>
      <c r="K12" s="157" t="inlineStr">
        <is>
          <t>Nguyễn Trần Tấn Phát</t>
        </is>
      </c>
      <c r="L12" s="157" t="inlineStr">
        <is>
          <t>Passed</t>
        </is>
      </c>
      <c r="M12" s="156" t="n">
        <v>46141</v>
      </c>
      <c r="N12" s="157" t="inlineStr">
        <is>
          <t>Nguyễn Minh Khôi</t>
        </is>
      </c>
      <c r="O12" s="157" t="n"/>
    </row>
    <row r="13" ht="54" customHeight="1" s="171">
      <c r="A13" s="157" t="inlineStr">
        <is>
          <t>PROF-002</t>
        </is>
      </c>
      <c r="B13" s="157" t="inlineStr">
        <is>
          <t>Create new learning profile</t>
        </is>
      </c>
      <c r="C13" s="157" t="inlineStr">
        <is>
          <t>Authenticated account</t>
        </is>
      </c>
      <c r="D13" s="161" t="inlineStr">
        <is>
          <t>POST `profiles` with target/level/deadline</t>
        </is>
      </c>
      <c r="E13" s="161" t="inlineStr">
        <is>
          <t>201, new profile created</t>
        </is>
      </c>
      <c r="F13" s="157" t="inlineStr">
        <is>
          <t>Passed</t>
        </is>
      </c>
      <c r="G13" s="156" t="n">
        <v>46127</v>
      </c>
      <c r="H13" s="157" t="inlineStr">
        <is>
          <t>Nguyễn Trần Tấn Phát</t>
        </is>
      </c>
      <c r="I13" s="157" t="inlineStr">
        <is>
          <t>Passed</t>
        </is>
      </c>
      <c r="J13" s="156" t="n">
        <v>46134</v>
      </c>
      <c r="K13" s="157" t="inlineStr">
        <is>
          <t>Nguyễn Minh Khôi</t>
        </is>
      </c>
      <c r="L13" s="157" t="inlineStr">
        <is>
          <t>Passed</t>
        </is>
      </c>
      <c r="M13" s="156" t="n">
        <v>46141</v>
      </c>
      <c r="N13" s="157" t="inlineStr">
        <is>
          <t>Hoàng Văn Anh Nghĩa</t>
        </is>
      </c>
      <c r="O13" s="157" t="n"/>
    </row>
    <row r="14" ht="54" customHeight="1" s="171">
      <c r="A14" s="157" t="inlineStr">
        <is>
          <t>PROF-003</t>
        </is>
      </c>
      <c r="B14" s="157" t="inlineStr">
        <is>
          <t>Switch active profile</t>
        </is>
      </c>
      <c r="C14" s="157" t="inlineStr">
        <is>
          <t>Multiple profiles exist</t>
        </is>
      </c>
      <c r="D14" s="161" t="inlineStr">
        <is>
          <t>POST `auth/switch-profile`</t>
        </is>
      </c>
      <c r="E14" s="161" t="inlineStr">
        <is>
          <t>200, active profile changes, subsequent API calls use new profile context</t>
        </is>
      </c>
      <c r="F14" s="157" t="inlineStr">
        <is>
          <t>Passed</t>
        </is>
      </c>
      <c r="G14" s="156" t="n">
        <v>46127</v>
      </c>
      <c r="H14" s="157" t="inlineStr">
        <is>
          <t>Nguyễn Minh Khôi</t>
        </is>
      </c>
      <c r="I14" s="157" t="inlineStr">
        <is>
          <t>Passed</t>
        </is>
      </c>
      <c r="J14" s="156" t="n">
        <v>46134</v>
      </c>
      <c r="K14" s="157" t="inlineStr">
        <is>
          <t>Hoàng Văn Anh Nghĩa</t>
        </is>
      </c>
      <c r="L14" s="157" t="inlineStr">
        <is>
          <t>Passed</t>
        </is>
      </c>
      <c r="M14" s="156" t="n">
        <v>46141</v>
      </c>
      <c r="N14" s="157" t="inlineStr">
        <is>
          <t>Nguyễn Nhật Phát</t>
        </is>
      </c>
      <c r="O14" s="157" t="n"/>
    </row>
    <row r="15" ht="54" customHeight="1" s="171">
      <c r="A15" s="157" t="inlineStr">
        <is>
          <t>PROF-004</t>
        </is>
      </c>
      <c r="B15" s="157" t="inlineStr">
        <is>
          <t>Update profile info via frontend</t>
        </is>
      </c>
      <c r="C15" s="157" t="inlineStr">
        <is>
          <t>Profile exists</t>
        </is>
      </c>
      <c r="D15" s="161" t="inlineStr">
        <is>
          <t>Open ho-so, edit profile, save</t>
        </is>
      </c>
      <c r="E15" s="161" t="inlineStr">
        <is>
          <t>Profile updated, data persisted</t>
        </is>
      </c>
      <c r="F15" s="157" t="inlineStr">
        <is>
          <t>Passed</t>
        </is>
      </c>
      <c r="G15" s="156" t="n">
        <v>46127</v>
      </c>
      <c r="H15" s="157" t="inlineStr">
        <is>
          <t>Hoàng Văn Anh Nghĩa</t>
        </is>
      </c>
      <c r="I15" s="157" t="inlineStr">
        <is>
          <t>Passed</t>
        </is>
      </c>
      <c r="J15" s="156" t="n">
        <v>46134</v>
      </c>
      <c r="K15" s="157" t="inlineStr">
        <is>
          <t>Nguyễn Nhật Phát</t>
        </is>
      </c>
      <c r="L15" s="157" t="inlineStr">
        <is>
          <t>Passed</t>
        </is>
      </c>
      <c r="M15" s="156" t="n">
        <v>46141</v>
      </c>
      <c r="N15" s="157" t="inlineStr">
        <is>
          <t>Nguyễn Trần Tấn Phát</t>
        </is>
      </c>
      <c r="O15" s="157" t="n"/>
    </row>
    <row r="16" ht="54" customHeight="1" s="171">
      <c r="A16" s="157" t="inlineStr">
        <is>
          <t>PROF-006</t>
        </is>
      </c>
      <c r="B16" s="157" t="inlineStr">
        <is>
          <t>Cannot access another account's profile</t>
        </is>
      </c>
      <c r="C16" s="157" t="inlineStr">
        <is>
          <t>Account A has profile</t>
        </is>
      </c>
      <c r="D16" s="161" t="inlineStr">
        <is>
          <t>Account B tries to update account A's profile</t>
        </is>
      </c>
      <c r="E16" s="161" t="inlineStr">
        <is>
          <t>403 or 404</t>
        </is>
      </c>
      <c r="F16" s="157" t="inlineStr">
        <is>
          <t>Passed</t>
        </is>
      </c>
      <c r="G16" s="156" t="n">
        <v>46127</v>
      </c>
      <c r="H16" s="157" t="inlineStr">
        <is>
          <t>Nguyễn Nhật Phát</t>
        </is>
      </c>
      <c r="I16" s="157" t="inlineStr">
        <is>
          <t>Passed</t>
        </is>
      </c>
      <c r="J16" s="156" t="n">
        <v>46134</v>
      </c>
      <c r="K16" s="157" t="inlineStr">
        <is>
          <t>Nguyễn Trần Tấn Phát</t>
        </is>
      </c>
      <c r="L16" s="157" t="inlineStr">
        <is>
          <t>Passed</t>
        </is>
      </c>
      <c r="M16" s="156" t="n">
        <v>46141</v>
      </c>
      <c r="N16" s="157" t="inlineStr">
        <is>
          <t>Nguyễn Minh Khôi</t>
        </is>
      </c>
      <c r="O16" s="157" t="n"/>
    </row>
    <row r="17" ht="54" customHeight="1" s="171">
      <c r="A17" s="157" t="inlineStr">
        <is>
          <t>PROF-008</t>
        </is>
      </c>
      <c r="B17" s="157" t="inlineStr">
        <is>
          <t>Complete onboarding via API</t>
        </is>
      </c>
      <c r="C17" s="157" t="inlineStr">
        <is>
          <t>Authenticated without active profile</t>
        </is>
      </c>
      <c r="D17" s="161" t="inlineStr">
        <is>
          <t>POST `profiles/{id}/onboarding` with nickname/level/deadline</t>
        </is>
      </c>
      <c r="E17" s="161" t="inlineStr">
        <is>
          <t>200, onboarding bonus granted if applicable (100 coins)</t>
        </is>
      </c>
      <c r="F17" s="157" t="inlineStr">
        <is>
          <t>Passed</t>
        </is>
      </c>
      <c r="G17" s="156" t="n">
        <v>46127</v>
      </c>
      <c r="H17" s="157" t="inlineStr">
        <is>
          <t>Nguyễn Trần Tấn Phát</t>
        </is>
      </c>
      <c r="I17" s="157" t="inlineStr">
        <is>
          <t>Passed</t>
        </is>
      </c>
      <c r="J17" s="156" t="n">
        <v>46134</v>
      </c>
      <c r="K17" s="157" t="inlineStr">
        <is>
          <t>Nguyễn Minh Khôi</t>
        </is>
      </c>
      <c r="L17" s="157" t="inlineStr">
        <is>
          <t>Passed</t>
        </is>
      </c>
      <c r="M17" s="156" t="n">
        <v>46141</v>
      </c>
      <c r="N17" s="157" t="inlineStr">
        <is>
          <t>Hoàng Văn Anh Nghĩa</t>
        </is>
      </c>
      <c r="O17" s="157" t="n"/>
    </row>
    <row r="18" ht="54" customHeight="1" s="171">
      <c r="A18" s="157" t="inlineStr">
        <is>
          <t>PROF-009</t>
        </is>
      </c>
      <c r="B18" s="157" t="inlineStr">
        <is>
          <t>Change password</t>
        </is>
      </c>
      <c r="C18" s="157" t="inlineStr">
        <is>
          <t>Authenticated</t>
        </is>
      </c>
      <c r="D18" s="161" t="inlineStr">
        <is>
          <t>POST `me/change-password` with old + new password</t>
        </is>
      </c>
      <c r="E18" s="161" t="inlineStr">
        <is>
          <t>200, password updated, re-login required</t>
        </is>
      </c>
      <c r="F18" s="157" t="inlineStr">
        <is>
          <t>Passed</t>
        </is>
      </c>
      <c r="G18" s="156" t="n">
        <v>46127</v>
      </c>
      <c r="H18" s="157" t="inlineStr">
        <is>
          <t>Nguyễn Minh Khôi</t>
        </is>
      </c>
      <c r="I18" s="157" t="inlineStr">
        <is>
          <t>Passed</t>
        </is>
      </c>
      <c r="J18" s="156" t="n">
        <v>46134</v>
      </c>
      <c r="K18" s="157" t="inlineStr">
        <is>
          <t>Hoàng Văn Anh Nghĩa</t>
        </is>
      </c>
      <c r="L18" s="157" t="inlineStr">
        <is>
          <t>Passed</t>
        </is>
      </c>
      <c r="M18" s="156" t="n">
        <v>46141</v>
      </c>
      <c r="N18" s="157" t="inlineStr">
        <is>
          <t>Nguyễn Nhật Phát</t>
        </is>
      </c>
      <c r="O18" s="157" t="n"/>
    </row>
    <row r="19" ht="54" customHeight="1" s="171">
      <c r="A19" s="157" t="inlineStr">
        <is>
          <t>PROF-010</t>
        </is>
      </c>
      <c r="B19" s="157" t="inlineStr">
        <is>
          <t>Avatar upload</t>
        </is>
      </c>
      <c r="C19" s="157" t="inlineStr">
        <is>
          <t>Authenticated with active profile</t>
        </is>
      </c>
      <c r="D19" s="161" t="inlineStr">
        <is>
          <t>POST `me/avatar` with valid image</t>
        </is>
      </c>
      <c r="E19" s="161" t="inlineStr">
        <is>
          <t>200, avatar URL updated</t>
        </is>
      </c>
      <c r="F19" s="157" t="inlineStr">
        <is>
          <t>Passed</t>
        </is>
      </c>
      <c r="G19" s="156" t="n">
        <v>46127</v>
      </c>
      <c r="H19" s="157" t="inlineStr">
        <is>
          <t>Hoàng Văn Anh Nghĩa</t>
        </is>
      </c>
      <c r="I19" s="157" t="inlineStr">
        <is>
          <t>Passed</t>
        </is>
      </c>
      <c r="J19" s="156" t="n">
        <v>46134</v>
      </c>
      <c r="K19" s="157" t="inlineStr">
        <is>
          <t>Nguyễn Nhật Phát</t>
        </is>
      </c>
      <c r="L19" s="157" t="inlineStr">
        <is>
          <t>Passed</t>
        </is>
      </c>
      <c r="M19" s="156" t="n">
        <v>46141</v>
      </c>
      <c r="N19" s="157" t="inlineStr">
        <is>
          <t>Nguyễn Trần Tấn Phát</t>
        </is>
      </c>
      <c r="O19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Vocabulary &amp; SRS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Topic list, detail, exercises, SRS review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Vocab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VOC-001</t>
        </is>
      </c>
      <c r="B12" s="168" t="inlineStr">
        <is>
          <t>List vocabulary topics</t>
        </is>
      </c>
      <c r="C12" s="168" t="inlineStr">
        <is>
          <t>Topics seeded in DB</t>
        </is>
      </c>
      <c r="D12" s="161" t="inlineStr">
        <is>
          <t>GET `vocab/topics`</t>
        </is>
      </c>
      <c r="E12" s="162" t="inlineStr">
        <is>
          <t>200, topics list with publish status, word count</t>
        </is>
      </c>
      <c r="F12" s="157" t="inlineStr">
        <is>
          <t>Passed</t>
        </is>
      </c>
      <c r="G12" s="156" t="n">
        <v>46127</v>
      </c>
      <c r="H12" s="157" t="inlineStr">
        <is>
          <t>Nguyễn Trần Tấn Phát</t>
        </is>
      </c>
      <c r="I12" s="157" t="inlineStr">
        <is>
          <t>Passed</t>
        </is>
      </c>
      <c r="J12" s="156" t="n">
        <v>46134</v>
      </c>
      <c r="K12" s="157" t="inlineStr">
        <is>
          <t>Nguyễn Minh Khôi</t>
        </is>
      </c>
      <c r="L12" s="157" t="inlineStr">
        <is>
          <t>Passed</t>
        </is>
      </c>
      <c r="M12" s="156" t="n">
        <v>46141</v>
      </c>
      <c r="N12" s="157" t="inlineStr">
        <is>
          <t>Hoàng Văn Anh Nghĩa</t>
        </is>
      </c>
      <c r="O12" s="157" t="n"/>
    </row>
    <row r="13" ht="54" customHeight="1" s="171">
      <c r="A13" s="157" t="inlineStr">
        <is>
          <t>VOC-002</t>
        </is>
      </c>
      <c r="B13" s="157" t="inlineStr">
        <is>
          <t>Show vocabulary topic detail</t>
        </is>
      </c>
      <c r="C13" s="157" t="inlineStr">
        <is>
          <t>Published topic exists</t>
        </is>
      </c>
      <c r="D13" s="161" t="inlineStr">
        <is>
          <t>GET `vocab/topics/{id}`</t>
        </is>
      </c>
      <c r="E13" s="161" t="inlineStr">
        <is>
          <t>200, topic with words list, progress info</t>
        </is>
      </c>
      <c r="F13" s="157" t="inlineStr">
        <is>
          <t>Passed</t>
        </is>
      </c>
      <c r="G13" s="156" t="n">
        <v>46127</v>
      </c>
      <c r="H13" s="157" t="inlineStr">
        <is>
          <t>Nguyễn Minh Khôi</t>
        </is>
      </c>
      <c r="I13" s="157" t="inlineStr">
        <is>
          <t>Passed</t>
        </is>
      </c>
      <c r="J13" s="156" t="n">
        <v>46134</v>
      </c>
      <c r="K13" s="157" t="inlineStr">
        <is>
          <t>Hoàng Văn Anh Nghĩa</t>
        </is>
      </c>
      <c r="L13" s="157" t="inlineStr">
        <is>
          <t>Passed</t>
        </is>
      </c>
      <c r="M13" s="156" t="n">
        <v>46141</v>
      </c>
      <c r="N13" s="157" t="inlineStr">
        <is>
          <t>Nguyễn Nhật Phát</t>
        </is>
      </c>
      <c r="O13" s="157" t="n"/>
    </row>
    <row r="14" ht="54" customHeight="1" s="171">
      <c r="A14" s="157" t="inlineStr">
        <is>
          <t>VOC-EX-004</t>
        </is>
      </c>
      <c r="B14" s="157" t="inlineStr">
        <is>
          <t>Frontend exercise flow (MCQ + fill-blank)</t>
        </is>
      </c>
      <c r="C14" s="157" t="inlineStr">
        <is>
          <t>Topic has exercises</t>
        </is>
      </c>
      <c r="D14" s="161" t="inlineStr">
        <is>
          <t>Open exercise, answer, submit</t>
        </is>
      </c>
      <c r="E14" s="161" t="inlineStr">
        <is>
          <t>Result displayed, progress updated</t>
        </is>
      </c>
      <c r="F14" s="157" t="inlineStr">
        <is>
          <t>Passed</t>
        </is>
      </c>
      <c r="G14" s="156" t="n">
        <v>46127</v>
      </c>
      <c r="H14" s="157" t="inlineStr">
        <is>
          <t>Hoàng Văn Anh Nghĩa</t>
        </is>
      </c>
      <c r="I14" s="157" t="inlineStr">
        <is>
          <t>Passed</t>
        </is>
      </c>
      <c r="J14" s="156" t="n">
        <v>46134</v>
      </c>
      <c r="K14" s="157" t="inlineStr">
        <is>
          <t>Nguyễn Nhật Phát</t>
        </is>
      </c>
      <c r="L14" s="157" t="inlineStr">
        <is>
          <t>Passed</t>
        </is>
      </c>
      <c r="M14" s="156" t="n">
        <v>46141</v>
      </c>
      <c r="N14" s="157" t="inlineStr">
        <is>
          <t>Nguyễn Trần Tấn Phát</t>
        </is>
      </c>
      <c r="O14" s="157" t="n"/>
    </row>
    <row r="15" ht="54" customHeight="1" s="171">
      <c r="A15" s="157" t="inlineStr">
        <is>
          <t>VOC-SRS-001</t>
        </is>
      </c>
      <c r="B15" s="157" t="inlineStr">
        <is>
          <t>SRS queue returns due cards</t>
        </is>
      </c>
      <c r="C15" s="157" t="inlineStr">
        <is>
          <t>Words previously learned, due for review</t>
        </is>
      </c>
      <c r="D15" s="161" t="inlineStr">
        <is>
          <t>GET `vocab/srs/queue`</t>
        </is>
      </c>
      <c r="E15" s="161" t="inlineStr">
        <is>
          <t>200, list of due review items</t>
        </is>
      </c>
      <c r="F15" s="157" t="inlineStr">
        <is>
          <t>Passed</t>
        </is>
      </c>
      <c r="G15" s="156" t="n">
        <v>46127</v>
      </c>
      <c r="H15" s="157" t="inlineStr">
        <is>
          <t>Nguyễn Nhật Phát</t>
        </is>
      </c>
      <c r="I15" s="157" t="inlineStr">
        <is>
          <t>Passed</t>
        </is>
      </c>
      <c r="J15" s="156" t="n">
        <v>46134</v>
      </c>
      <c r="K15" s="157" t="inlineStr">
        <is>
          <t>Nguyễn Trần Tấn Phát</t>
        </is>
      </c>
      <c r="L15" s="157" t="inlineStr">
        <is>
          <t>Passed</t>
        </is>
      </c>
      <c r="M15" s="156" t="n">
        <v>46141</v>
      </c>
      <c r="N15" s="157" t="inlineStr">
        <is>
          <t>Nguyễn Minh Khôi</t>
        </is>
      </c>
      <c r="O15" s="157" t="n"/>
    </row>
    <row r="16" ht="54" customHeight="1" s="171">
      <c r="A16" s="157" t="inlineStr">
        <is>
          <t>VOC-SRS-002</t>
        </is>
      </c>
      <c r="B16" s="157" t="inlineStr">
        <is>
          <t>SRS review updates scheduling</t>
        </is>
      </c>
      <c r="C16" s="157" t="inlineStr">
        <is>
          <t>Due word in queue</t>
        </is>
      </c>
      <c r="D16" s="161" t="inlineStr">
        <is>
          <t>POST `vocab/srs/review` with word_id and rating (good/again)</t>
        </is>
      </c>
      <c r="E16" s="161" t="inlineStr">
        <is>
          <t>200, due date updated via FSRS algorithm</t>
        </is>
      </c>
      <c r="F16" s="157" t="inlineStr">
        <is>
          <t>Passed</t>
        </is>
      </c>
      <c r="G16" s="156" t="n">
        <v>46127</v>
      </c>
      <c r="H16" s="157" t="inlineStr">
        <is>
          <t>Nguyễn Trần Tấn Phát</t>
        </is>
      </c>
      <c r="I16" s="157" t="inlineStr">
        <is>
          <t>Passed</t>
        </is>
      </c>
      <c r="J16" s="156" t="n">
        <v>46134</v>
      </c>
      <c r="K16" s="157" t="inlineStr">
        <is>
          <t>Nguyễn Minh Khôi</t>
        </is>
      </c>
      <c r="L16" s="157" t="inlineStr">
        <is>
          <t>Passed</t>
        </is>
      </c>
      <c r="M16" s="156" t="n">
        <v>46141</v>
      </c>
      <c r="N16" s="157" t="inlineStr">
        <is>
          <t>Hoàng Văn Anh Nghĩa</t>
        </is>
      </c>
      <c r="O16" s="157" t="n"/>
    </row>
    <row r="17" ht="54" customHeight="1" s="171">
      <c r="A17" s="157" t="inlineStr">
        <is>
          <t>VOC-SRS-004</t>
        </is>
      </c>
      <c r="B17" s="157" t="inlineStr">
        <is>
          <t>Frontend SRS review flow</t>
        </is>
      </c>
      <c r="C17" s="157" t="inlineStr">
        <is>
          <t>Due cards exist</t>
        </is>
      </c>
      <c r="D17" s="161" t="inlineStr">
        <is>
          <t>Open focused SRS review, rate cards</t>
        </is>
      </c>
      <c r="E17" s="161" t="inlineStr">
        <is>
          <t>Cards rated, queue updated, progress saved</t>
        </is>
      </c>
      <c r="F17" s="157" t="inlineStr">
        <is>
          <t>Passed</t>
        </is>
      </c>
      <c r="G17" s="156" t="n">
        <v>46127</v>
      </c>
      <c r="H17" s="157" t="inlineStr">
        <is>
          <t>Nguyễn Minh Khôi</t>
        </is>
      </c>
      <c r="I17" s="157" t="inlineStr">
        <is>
          <t>Passed</t>
        </is>
      </c>
      <c r="J17" s="156" t="n">
        <v>46134</v>
      </c>
      <c r="K17" s="157" t="inlineStr">
        <is>
          <t>Hoàng Văn Anh Nghĩa</t>
        </is>
      </c>
      <c r="L17" s="157" t="inlineStr">
        <is>
          <t>Passed</t>
        </is>
      </c>
      <c r="M17" s="156" t="n">
        <v>46141</v>
      </c>
      <c r="N17" s="157" t="inlineStr">
        <is>
          <t>Nguyễn Nhật Phát</t>
        </is>
      </c>
      <c r="O17" s="157" t="n"/>
    </row>
    <row r="18" ht="54" customHeight="1" s="171">
      <c r="A18" s="157" t="inlineStr">
        <is>
          <t>VOC-SRS-006</t>
        </is>
      </c>
      <c r="B18" s="157" t="inlineStr">
        <is>
          <t>FSRS scheduler computes correct intervals</t>
        </is>
      </c>
      <c r="C18" s="157" t="inlineStr">
        <is>
          <t>Unit test</t>
        </is>
      </c>
      <c r="D18" s="161" t="inlineStr">
        <is>
          <t>Call scheduler with new/learning/review states</t>
        </is>
      </c>
      <c r="E18" s="161" t="inlineStr">
        <is>
          <t>Intervals match FSRS formula, state transitions correct</t>
        </is>
      </c>
      <c r="F18" s="157" t="inlineStr">
        <is>
          <t>Passed</t>
        </is>
      </c>
      <c r="G18" s="156" t="n">
        <v>46127</v>
      </c>
      <c r="H18" s="157" t="inlineStr">
        <is>
          <t>Hoàng Văn Anh Nghĩa</t>
        </is>
      </c>
      <c r="I18" s="157" t="inlineStr">
        <is>
          <t>Passed</t>
        </is>
      </c>
      <c r="J18" s="156" t="n">
        <v>46134</v>
      </c>
      <c r="K18" s="157" t="inlineStr">
        <is>
          <t>Nguyễn Nhật Phát</t>
        </is>
      </c>
      <c r="L18" s="157" t="inlineStr">
        <is>
          <t>Passed</t>
        </is>
      </c>
      <c r="M18" s="156" t="n">
        <v>46141</v>
      </c>
      <c r="N18" s="157" t="inlineStr">
        <is>
          <t>Nguyễn Trần Tấn Phát</t>
        </is>
      </c>
      <c r="O18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Grammar Points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Point list, detail, exercise flow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Grammar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GRAM-001</t>
        </is>
      </c>
      <c r="B12" s="168" t="inlineStr">
        <is>
          <t>List grammar points</t>
        </is>
      </c>
      <c r="C12" s="168" t="inlineStr">
        <is>
          <t>Points seeded in DB</t>
        </is>
      </c>
      <c r="D12" s="161" t="inlineStr">
        <is>
          <t>GET `grammar/points`</t>
        </is>
      </c>
      <c r="E12" s="162" t="inlineStr">
        <is>
          <t>200, points list with publish status</t>
        </is>
      </c>
      <c r="F12" s="157" t="inlineStr">
        <is>
          <t>Passed</t>
        </is>
      </c>
      <c r="G12" s="156" t="n">
        <v>46127</v>
      </c>
      <c r="H12" s="157" t="inlineStr">
        <is>
          <t>Nguyễn Minh Khôi</t>
        </is>
      </c>
      <c r="I12" s="157" t="inlineStr">
        <is>
          <t>Passed</t>
        </is>
      </c>
      <c r="J12" s="156" t="n">
        <v>46134</v>
      </c>
      <c r="K12" s="157" t="inlineStr">
        <is>
          <t>Hoàng Văn Anh Nghĩa</t>
        </is>
      </c>
      <c r="L12" s="157" t="inlineStr">
        <is>
          <t>Passed</t>
        </is>
      </c>
      <c r="M12" s="156" t="n">
        <v>46141</v>
      </c>
      <c r="N12" s="157" t="inlineStr">
        <is>
          <t>Nguyễn Nhật Phát</t>
        </is>
      </c>
      <c r="O12" s="157" t="n"/>
    </row>
    <row r="13" ht="54" customHeight="1" s="171">
      <c r="A13" s="157" t="inlineStr">
        <is>
          <t>GRAM-002</t>
        </is>
      </c>
      <c r="B13" s="157" t="inlineStr">
        <is>
          <t>Show grammar point detail</t>
        </is>
      </c>
      <c r="C13" s="157" t="inlineStr">
        <is>
          <t>Published point exists</t>
        </is>
      </c>
      <c r="D13" s="161" t="inlineStr">
        <is>
          <t>GET `grammar/points/{id}`</t>
        </is>
      </c>
      <c r="E13" s="161" t="inlineStr">
        <is>
          <t>200, point with structures/examples/mistakes/tips</t>
        </is>
      </c>
      <c r="F13" s="157" t="inlineStr">
        <is>
          <t>Passed</t>
        </is>
      </c>
      <c r="G13" s="156" t="n">
        <v>46127</v>
      </c>
      <c r="H13" s="157" t="inlineStr">
        <is>
          <t>Hoàng Văn Anh Nghĩa</t>
        </is>
      </c>
      <c r="I13" s="157" t="inlineStr">
        <is>
          <t>Passed</t>
        </is>
      </c>
      <c r="J13" s="156" t="n">
        <v>46134</v>
      </c>
      <c r="K13" s="157" t="inlineStr">
        <is>
          <t>Nguyễn Nhật Phát</t>
        </is>
      </c>
      <c r="L13" s="157" t="inlineStr">
        <is>
          <t>Passed</t>
        </is>
      </c>
      <c r="M13" s="156" t="n">
        <v>46141</v>
      </c>
      <c r="N13" s="157" t="inlineStr">
        <is>
          <t>Nguyễn Trần Tấn Phát</t>
        </is>
      </c>
      <c r="O13" s="157" t="n"/>
    </row>
    <row r="14" ht="54" customHeight="1" s="171">
      <c r="A14" s="157" t="inlineStr">
        <is>
          <t>GRAM-EX-002</t>
        </is>
      </c>
      <c r="B14" s="157" t="inlineStr">
        <is>
          <t>Frontend grammar exercise flow</t>
        </is>
      </c>
      <c r="C14" s="157" t="inlineStr">
        <is>
          <t>Point with exercise</t>
        </is>
      </c>
      <c r="D14" s="161" t="inlineStr">
        <is>
          <t>Open exercise, answer questions, submit</t>
        </is>
      </c>
      <c r="E14" s="161" t="inlineStr">
        <is>
          <t>Instant feedback, result summary, retry option</t>
        </is>
      </c>
      <c r="F14" s="157" t="inlineStr">
        <is>
          <t>Passed</t>
        </is>
      </c>
      <c r="G14" s="156" t="n">
        <v>46127</v>
      </c>
      <c r="H14" s="157" t="inlineStr">
        <is>
          <t>Nguyễn Nhật Phát</t>
        </is>
      </c>
      <c r="I14" s="157" t="inlineStr">
        <is>
          <t>Passed</t>
        </is>
      </c>
      <c r="J14" s="156" t="n">
        <v>46134</v>
      </c>
      <c r="K14" s="157" t="inlineStr">
        <is>
          <t>Nguyễn Trần Tấn Phát</t>
        </is>
      </c>
      <c r="L14" s="157" t="inlineStr">
        <is>
          <t>Passed</t>
        </is>
      </c>
      <c r="M14" s="156" t="n">
        <v>46141</v>
      </c>
      <c r="N14" s="157" t="inlineStr">
        <is>
          <t>Nguyễn Minh Khôi</t>
        </is>
      </c>
      <c r="O14" s="157" t="n"/>
    </row>
    <row r="15" ht="54" customHeight="1" s="171">
      <c r="A15" s="157" t="inlineStr">
        <is>
          <t>GRAM-EX-004</t>
        </is>
      </c>
      <c r="B15" s="157" t="inlineStr">
        <is>
          <t>Grammar exercise handles retry</t>
        </is>
      </c>
      <c r="C15" s="157" t="inlineStr">
        <is>
          <t>Previously completed exercise</t>
        </is>
      </c>
      <c r="D15" s="161" t="inlineStr">
        <is>
          <t>Click retry</t>
        </is>
      </c>
      <c r="E15" s="161" t="inlineStr">
        <is>
          <t>New session started, fresh answers</t>
        </is>
      </c>
      <c r="F15" s="157" t="inlineStr">
        <is>
          <t>Passed</t>
        </is>
      </c>
      <c r="G15" s="156" t="n">
        <v>46127</v>
      </c>
      <c r="H15" s="157" t="inlineStr">
        <is>
          <t>Nguyễn Trần Tấn Phát</t>
        </is>
      </c>
      <c r="I15" s="157" t="inlineStr">
        <is>
          <t>Passed</t>
        </is>
      </c>
      <c r="J15" s="156" t="n">
        <v>46134</v>
      </c>
      <c r="K15" s="157" t="inlineStr">
        <is>
          <t>Nguyễn Minh Khôi</t>
        </is>
      </c>
      <c r="L15" s="157" t="inlineStr">
        <is>
          <t>Passed</t>
        </is>
      </c>
      <c r="M15" s="156" t="n">
        <v>46141</v>
      </c>
      <c r="N15" s="157" t="inlineStr">
        <is>
          <t>Hoàng Văn Anh Nghĩa</t>
        </is>
      </c>
      <c r="O15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Listening Practice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Exercise list, audio, answer, results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Practice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PRAC-LIS-001</t>
        </is>
      </c>
      <c r="B12" s="168" t="inlineStr">
        <is>
          <t>List listening exercises</t>
        </is>
      </c>
      <c r="C12" s="168" t="inlineStr">
        <is>
          <t>Listening exercises exist</t>
        </is>
      </c>
      <c r="D12" s="161" t="inlineStr">
        <is>
          <t>GET `practice/listening/exercises`</t>
        </is>
      </c>
      <c r="E12" s="162" t="inlineStr">
        <is>
          <t>200, exercise list with level/estimated minutes</t>
        </is>
      </c>
      <c r="F12" s="157" t="inlineStr">
        <is>
          <t>Passed</t>
        </is>
      </c>
      <c r="G12" s="156" t="n">
        <v>46127</v>
      </c>
      <c r="H12" s="157" t="inlineStr">
        <is>
          <t>Hoàng Văn Anh Nghĩa</t>
        </is>
      </c>
      <c r="I12" s="157" t="inlineStr">
        <is>
          <t>Passed</t>
        </is>
      </c>
      <c r="J12" s="156" t="n">
        <v>46134</v>
      </c>
      <c r="K12" s="157" t="inlineStr">
        <is>
          <t>Nguyễn Nhật Phát</t>
        </is>
      </c>
      <c r="L12" s="157" t="inlineStr">
        <is>
          <t>Passed</t>
        </is>
      </c>
      <c r="M12" s="156" t="n">
        <v>46141</v>
      </c>
      <c r="N12" s="157" t="inlineStr">
        <is>
          <t>Nguyễn Trần Tấn Phát</t>
        </is>
      </c>
      <c r="O12" s="157" t="n"/>
    </row>
    <row r="13" ht="54" customHeight="1" s="171">
      <c r="A13" s="157" t="inlineStr">
        <is>
          <t>PRAC-LIS-002</t>
        </is>
      </c>
      <c r="B13" s="157" t="inlineStr">
        <is>
          <t>Show listening exercise detail</t>
        </is>
      </c>
      <c r="C13" s="157" t="inlineStr">
        <is>
          <t>Exercise exists with audio</t>
        </is>
      </c>
      <c r="D13" s="161" t="inlineStr">
        <is>
          <t>GET `practice/listening/exercises/{id}`</t>
        </is>
      </c>
      <c r="E13" s="161" t="inlineStr">
        <is>
          <t>200, exercise with audio_url, transcript, questions</t>
        </is>
      </c>
      <c r="F13" s="157" t="inlineStr">
        <is>
          <t>Passed</t>
        </is>
      </c>
      <c r="G13" s="156" t="n">
        <v>46127</v>
      </c>
      <c r="H13" s="157" t="inlineStr">
        <is>
          <t>Nguyễn Nhật Phát</t>
        </is>
      </c>
      <c r="I13" s="157" t="inlineStr">
        <is>
          <t>Passed</t>
        </is>
      </c>
      <c r="J13" s="156" t="n">
        <v>46134</v>
      </c>
      <c r="K13" s="157" t="inlineStr">
        <is>
          <t>Nguyễn Trần Tấn Phát</t>
        </is>
      </c>
      <c r="L13" s="157" t="inlineStr">
        <is>
          <t>Passed</t>
        </is>
      </c>
      <c r="M13" s="156" t="n">
        <v>46141</v>
      </c>
      <c r="N13" s="157" t="inlineStr">
        <is>
          <t>Nguyễn Minh Khôi</t>
        </is>
      </c>
      <c r="O13" s="157" t="n"/>
    </row>
    <row r="14" ht="54" customHeight="1" s="171">
      <c r="A14" s="157" t="inlineStr">
        <is>
          <t>PRAC-LIS-004</t>
        </is>
      </c>
      <c r="B14" s="157" t="inlineStr">
        <is>
          <t>Answer listening MCQ questions</t>
        </is>
      </c>
      <c r="C14" s="157" t="inlineStr">
        <is>
          <t>Active session</t>
        </is>
      </c>
      <c r="D14" s="161" t="inlineStr">
        <is>
          <t>POST `practice/listening/sessions/{id}/submit` with answers</t>
        </is>
      </c>
      <c r="E14" s="161" t="inlineStr">
        <is>
          <t>200, score calculated, correct/incorrect per question</t>
        </is>
      </c>
      <c r="F14" s="157" t="inlineStr">
        <is>
          <t>Passed</t>
        </is>
      </c>
      <c r="G14" s="156" t="n">
        <v>46127</v>
      </c>
      <c r="H14" s="157" t="inlineStr">
        <is>
          <t>Nguyễn Trần Tấn Phát</t>
        </is>
      </c>
      <c r="I14" s="157" t="inlineStr">
        <is>
          <t>Passed</t>
        </is>
      </c>
      <c r="J14" s="156" t="n">
        <v>46134</v>
      </c>
      <c r="K14" s="157" t="inlineStr">
        <is>
          <t>Nguyễn Minh Khôi</t>
        </is>
      </c>
      <c r="L14" s="157" t="inlineStr">
        <is>
          <t>Passed</t>
        </is>
      </c>
      <c r="M14" s="156" t="n">
        <v>46141</v>
      </c>
      <c r="N14" s="157" t="inlineStr">
        <is>
          <t>Hoàng Văn Anh Nghĩa</t>
        </is>
      </c>
      <c r="O14" s="157" t="n"/>
    </row>
    <row r="15" ht="54" customHeight="1" s="171">
      <c r="A15" s="157" t="inlineStr">
        <is>
          <t>PRAC-LIS-006</t>
        </is>
      </c>
      <c r="B15" s="157" t="inlineStr">
        <is>
          <t>Frontend listening exercise list with filters</t>
        </is>
      </c>
      <c r="C15" s="157" t="inlineStr">
        <is>
          <t>Exercises with different levels</t>
        </is>
      </c>
      <c r="D15" s="161" t="inlineStr">
        <is>
          <t>Open listening page, apply level filter</t>
        </is>
      </c>
      <c r="E15" s="161" t="inlineStr">
        <is>
          <t>Filtered list, exercise cards with progress</t>
        </is>
      </c>
      <c r="F15" s="157" t="inlineStr">
        <is>
          <t>Passed</t>
        </is>
      </c>
      <c r="G15" s="156" t="n">
        <v>46127</v>
      </c>
      <c r="H15" s="157" t="inlineStr">
        <is>
          <t>Nguyễn Minh Khôi</t>
        </is>
      </c>
      <c r="I15" s="157" t="inlineStr">
        <is>
          <t>Passed</t>
        </is>
      </c>
      <c r="J15" s="156" t="n">
        <v>46134</v>
      </c>
      <c r="K15" s="157" t="inlineStr">
        <is>
          <t>Hoàng Văn Anh Nghĩa</t>
        </is>
      </c>
      <c r="L15" s="157" t="inlineStr">
        <is>
          <t>Passed</t>
        </is>
      </c>
      <c r="M15" s="156" t="n">
        <v>46141</v>
      </c>
      <c r="N15" s="157" t="inlineStr">
        <is>
          <t>Nguyễn Nhật Phát</t>
        </is>
      </c>
      <c r="O15" s="157" t="n"/>
    </row>
    <row r="16" ht="54" customHeight="1" s="171">
      <c r="A16" s="157" t="inlineStr">
        <is>
          <t>PRAC-LIS-007</t>
        </is>
      </c>
      <c r="B16" s="157" t="inlineStr">
        <is>
          <t>Frontend listening answers show results</t>
        </is>
      </c>
      <c r="C16" s="157" t="inlineStr">
        <is>
          <t>Active session</t>
        </is>
      </c>
      <c r="D16" s="161" t="inlineStr">
        <is>
          <t>Answer questions in focused screen</t>
        </is>
      </c>
      <c r="E16" s="161" t="inlineStr">
        <is>
          <t>Correct/wrong feedback, score, transcript shown</t>
        </is>
      </c>
      <c r="F16" s="157" t="inlineStr">
        <is>
          <t>Passed</t>
        </is>
      </c>
      <c r="G16" s="156" t="n">
        <v>46127</v>
      </c>
      <c r="H16" s="157" t="inlineStr">
        <is>
          <t>Hoàng Văn Anh Nghĩa</t>
        </is>
      </c>
      <c r="I16" s="157" t="inlineStr">
        <is>
          <t>Passed</t>
        </is>
      </c>
      <c r="J16" s="156" t="n">
        <v>46134</v>
      </c>
      <c r="K16" s="157" t="inlineStr">
        <is>
          <t>Nguyễn Nhật Phát</t>
        </is>
      </c>
      <c r="L16" s="157" t="inlineStr">
        <is>
          <t>Passed</t>
        </is>
      </c>
      <c r="M16" s="156" t="n">
        <v>46141</v>
      </c>
      <c r="N16" s="157" t="inlineStr">
        <is>
          <t>Nguyễn Trần Tấn Phát</t>
        </is>
      </c>
      <c r="O16" s="157" t="n"/>
    </row>
    <row r="17" ht="54" customHeight="1" s="171">
      <c r="A17" s="157" t="inlineStr">
        <is>
          <t>PRAC-SKILLS-001</t>
        </is>
      </c>
      <c r="B17" s="157" t="inlineStr">
        <is>
          <t>Practice skills page renders all skills</t>
        </is>
      </c>
      <c r="C17" s="157" t="inlineStr">
        <is>
          <t>Authenticated learner</t>
        </is>
      </c>
      <c r="D17" s="161" t="inlineStr">
        <is>
          <t>Open `/luyen-tap`</t>
        </is>
      </c>
      <c r="E17" s="161" t="inlineStr">
        <is>
          <t>Listening, Reading, Writing, Speaking, Vocab, Grammar sections visible</t>
        </is>
      </c>
      <c r="F17" s="157" t="inlineStr">
        <is>
          <t>Passed</t>
        </is>
      </c>
      <c r="G17" s="156" t="n">
        <v>46127</v>
      </c>
      <c r="H17" s="157" t="inlineStr">
        <is>
          <t>Nguyễn Nhật Phát</t>
        </is>
      </c>
      <c r="I17" s="157" t="inlineStr">
        <is>
          <t>Passed</t>
        </is>
      </c>
      <c r="J17" s="156" t="n">
        <v>46134</v>
      </c>
      <c r="K17" s="157" t="inlineStr">
        <is>
          <t>Nguyễn Trần Tấn Phát</t>
        </is>
      </c>
      <c r="L17" s="157" t="inlineStr">
        <is>
          <t>Passed</t>
        </is>
      </c>
      <c r="M17" s="156" t="n">
        <v>46141</v>
      </c>
      <c r="N17" s="157" t="inlineStr">
        <is>
          <t>Nguyễn Minh Khôi</t>
        </is>
      </c>
      <c r="O17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Reading Practice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Exercise list, passage, questions, results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Practice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PRAC-REA-001</t>
        </is>
      </c>
      <c r="B12" s="168" t="inlineStr">
        <is>
          <t>List reading exercises</t>
        </is>
      </c>
      <c r="C12" s="168" t="inlineStr">
        <is>
          <t>Reading exercises exist</t>
        </is>
      </c>
      <c r="D12" s="161" t="inlineStr">
        <is>
          <t>GET `practice/reading/exercises`</t>
        </is>
      </c>
      <c r="E12" s="162" t="inlineStr">
        <is>
          <t>200, exercise list with metadata</t>
        </is>
      </c>
      <c r="F12" s="157" t="inlineStr">
        <is>
          <t>Passed</t>
        </is>
      </c>
      <c r="G12" s="156" t="n">
        <v>46127</v>
      </c>
      <c r="H12" s="157" t="inlineStr">
        <is>
          <t>Nguyễn Nhật Phát</t>
        </is>
      </c>
      <c r="I12" s="157" t="inlineStr">
        <is>
          <t>Passed</t>
        </is>
      </c>
      <c r="J12" s="156" t="n">
        <v>46134</v>
      </c>
      <c r="K12" s="157" t="inlineStr">
        <is>
          <t>Nguyễn Trần Tấn Phát</t>
        </is>
      </c>
      <c r="L12" s="157" t="inlineStr">
        <is>
          <t>Passed</t>
        </is>
      </c>
      <c r="M12" s="156" t="n">
        <v>46141</v>
      </c>
      <c r="N12" s="157" t="inlineStr">
        <is>
          <t>Nguyễn Minh Khôi</t>
        </is>
      </c>
      <c r="O12" s="157" t="n"/>
    </row>
    <row r="13" ht="54" customHeight="1" s="171">
      <c r="A13" s="157" t="inlineStr">
        <is>
          <t>PRAC-REA-002</t>
        </is>
      </c>
      <c r="B13" s="157" t="inlineStr">
        <is>
          <t>Show reading exercise detail</t>
        </is>
      </c>
      <c r="C13" s="157" t="inlineStr">
        <is>
          <t>Exercise exists with passage + questions</t>
        </is>
      </c>
      <c r="D13" s="161" t="inlineStr">
        <is>
          <t>GET `practice/reading/exercises/{id}`</t>
        </is>
      </c>
      <c r="E13" s="161" t="inlineStr">
        <is>
          <t>200, passage, questions, options</t>
        </is>
      </c>
      <c r="F13" s="157" t="inlineStr">
        <is>
          <t>Passed</t>
        </is>
      </c>
      <c r="G13" s="156" t="n">
        <v>46127</v>
      </c>
      <c r="H13" s="157" t="inlineStr">
        <is>
          <t>Nguyễn Trần Tấn Phát</t>
        </is>
      </c>
      <c r="I13" s="157" t="inlineStr">
        <is>
          <t>Passed</t>
        </is>
      </c>
      <c r="J13" s="156" t="n">
        <v>46134</v>
      </c>
      <c r="K13" s="157" t="inlineStr">
        <is>
          <t>Nguyễn Minh Khôi</t>
        </is>
      </c>
      <c r="L13" s="157" t="inlineStr">
        <is>
          <t>Passed</t>
        </is>
      </c>
      <c r="M13" s="156" t="n">
        <v>46141</v>
      </c>
      <c r="N13" s="157" t="inlineStr">
        <is>
          <t>Hoàng Văn Anh Nghĩa</t>
        </is>
      </c>
      <c r="O13" s="157" t="n"/>
    </row>
    <row r="14" ht="54" customHeight="1" s="171">
      <c r="A14" s="157" t="inlineStr">
        <is>
          <t>PRAC-REA-004</t>
        </is>
      </c>
      <c r="B14" s="157" t="inlineStr">
        <is>
          <t>Answer reading MCQ questions</t>
        </is>
      </c>
      <c r="C14" s="157" t="inlineStr">
        <is>
          <t>Active session</t>
        </is>
      </c>
      <c r="D14" s="161" t="inlineStr">
        <is>
          <t>POST `practice/reading/sessions/{id}/submit`</t>
        </is>
      </c>
      <c r="E14" s="161" t="inlineStr">
        <is>
          <t>200, score + correct/incorrect per question</t>
        </is>
      </c>
      <c r="F14" s="157" t="inlineStr">
        <is>
          <t>Passed</t>
        </is>
      </c>
      <c r="G14" s="156" t="n">
        <v>46127</v>
      </c>
      <c r="H14" s="157" t="inlineStr">
        <is>
          <t>Nguyễn Minh Khôi</t>
        </is>
      </c>
      <c r="I14" s="157" t="inlineStr">
        <is>
          <t>Passed</t>
        </is>
      </c>
      <c r="J14" s="156" t="n">
        <v>46134</v>
      </c>
      <c r="K14" s="157" t="inlineStr">
        <is>
          <t>Hoàng Văn Anh Nghĩa</t>
        </is>
      </c>
      <c r="L14" s="157" t="inlineStr">
        <is>
          <t>Passed</t>
        </is>
      </c>
      <c r="M14" s="156" t="n">
        <v>46141</v>
      </c>
      <c r="N14" s="157" t="inlineStr">
        <is>
          <t>Nguyễn Nhật Phát</t>
        </is>
      </c>
      <c r="O14" s="157" t="n"/>
    </row>
    <row r="15" ht="54" customHeight="1" s="171">
      <c r="A15" s="157" t="inlineStr">
        <is>
          <t>PRAC-REA-005</t>
        </is>
      </c>
      <c r="B15" s="157" t="inlineStr">
        <is>
          <t>Frontend reading exercise with passage</t>
        </is>
      </c>
      <c r="C15" s="157" t="inlineStr">
        <is>
          <t>Exercise has passage</t>
        </is>
      </c>
      <c r="D15" s="161" t="inlineStr">
        <is>
          <t>Open reading exercise</t>
        </is>
      </c>
      <c r="E15" s="161" t="inlineStr">
        <is>
          <t>Passage displayed, questions alongside, answer selection</t>
        </is>
      </c>
      <c r="F15" s="157" t="inlineStr">
        <is>
          <t>Passed</t>
        </is>
      </c>
      <c r="G15" s="156" t="n">
        <v>46127</v>
      </c>
      <c r="H15" s="157" t="inlineStr">
        <is>
          <t>Hoàng Văn Anh Nghĩa</t>
        </is>
      </c>
      <c r="I15" s="157" t="inlineStr">
        <is>
          <t>Passed</t>
        </is>
      </c>
      <c r="J15" s="156" t="n">
        <v>46134</v>
      </c>
      <c r="K15" s="157" t="inlineStr">
        <is>
          <t>Nguyễn Nhật Phát</t>
        </is>
      </c>
      <c r="L15" s="157" t="inlineStr">
        <is>
          <t>Passed</t>
        </is>
      </c>
      <c r="M15" s="156" t="n">
        <v>46141</v>
      </c>
      <c r="N15" s="157" t="inlineStr">
        <is>
          <t>Nguyễn Trần Tấn Phát</t>
        </is>
      </c>
      <c r="O15" s="157" t="n"/>
    </row>
    <row r="16" ht="54" customHeight="1" s="171">
      <c r="A16" s="157" t="inlineStr">
        <is>
          <t>PRAC-REA-007</t>
        </is>
      </c>
      <c r="B16" s="157" t="inlineStr">
        <is>
          <t>Frontend reading answers show results</t>
        </is>
      </c>
      <c r="C16" s="157" t="inlineStr">
        <is>
          <t>Active session, all questions answered</t>
        </is>
      </c>
      <c r="D16" s="161" t="inlineStr">
        <is>
          <t>Submit</t>
        </is>
      </c>
      <c r="E16" s="161" t="inlineStr">
        <is>
          <t>Score, per-question results, passage with highlights</t>
        </is>
      </c>
      <c r="F16" s="157" t="inlineStr">
        <is>
          <t>Passed</t>
        </is>
      </c>
      <c r="G16" s="156" t="n">
        <v>46127</v>
      </c>
      <c r="H16" s="157" t="inlineStr">
        <is>
          <t>Nguyễn Nhật Phát</t>
        </is>
      </c>
      <c r="I16" s="157" t="inlineStr">
        <is>
          <t>Passed</t>
        </is>
      </c>
      <c r="J16" s="156" t="n">
        <v>46134</v>
      </c>
      <c r="K16" s="157" t="inlineStr">
        <is>
          <t>Nguyễn Trần Tấn Phát</t>
        </is>
      </c>
      <c r="L16" s="157" t="inlineStr">
        <is>
          <t>Passed</t>
        </is>
      </c>
      <c r="M16" s="156" t="n">
        <v>46141</v>
      </c>
      <c r="N16" s="157" t="inlineStr">
        <is>
          <t>Nguyễn Minh Khôi</t>
        </is>
      </c>
      <c r="O16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Writing Practice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Prompt, editor, submit, AI feedback, SSE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Practice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WRI-001</t>
        </is>
      </c>
      <c r="B12" s="168" t="inlineStr">
        <is>
          <t>List writing prompts</t>
        </is>
      </c>
      <c r="C12" s="168" t="inlineStr">
        <is>
          <t>Prompts exist</t>
        </is>
      </c>
      <c r="D12" s="161" t="inlineStr">
        <is>
          <t>GET `practice/writing/prompts`</t>
        </is>
      </c>
      <c r="E12" s="162" t="inlineStr">
        <is>
          <t>200, list with title, level, task type, estimated minutes</t>
        </is>
      </c>
      <c r="F12" s="157" t="inlineStr">
        <is>
          <t>Passed</t>
        </is>
      </c>
      <c r="G12" s="156" t="n">
        <v>46127</v>
      </c>
      <c r="H12" s="157" t="inlineStr">
        <is>
          <t>Nguyễn Trần Tấn Phát</t>
        </is>
      </c>
      <c r="I12" s="157" t="inlineStr">
        <is>
          <t>Passed</t>
        </is>
      </c>
      <c r="J12" s="156" t="n">
        <v>46134</v>
      </c>
      <c r="K12" s="157" t="inlineStr">
        <is>
          <t>Nguyễn Minh Khôi</t>
        </is>
      </c>
      <c r="L12" s="157" t="inlineStr">
        <is>
          <t>Passed</t>
        </is>
      </c>
      <c r="M12" s="156" t="n">
        <v>46141</v>
      </c>
      <c r="N12" s="157" t="inlineStr">
        <is>
          <t>Hoàng Văn Anh Nghĩa</t>
        </is>
      </c>
      <c r="O12" s="157" t="n"/>
    </row>
    <row r="13" ht="54" customHeight="1" s="171">
      <c r="A13" s="157" t="inlineStr">
        <is>
          <t>WRI-004</t>
        </is>
      </c>
      <c r="B13" s="157" t="inlineStr">
        <is>
          <t>Submit writing answer</t>
        </is>
      </c>
      <c r="C13" s="157" t="inlineStr">
        <is>
          <t>Active session</t>
        </is>
      </c>
      <c r="D13" s="161" t="inlineStr">
        <is>
          <t>POST `practice/writing/sessions/{id}/submit` with text</t>
        </is>
      </c>
      <c r="E13" s="161" t="inlineStr">
        <is>
          <t>200, submission accepted, feedback job triggered</t>
        </is>
      </c>
      <c r="F13" s="157" t="inlineStr">
        <is>
          <t>Passed</t>
        </is>
      </c>
      <c r="G13" s="156" t="n">
        <v>46127</v>
      </c>
      <c r="H13" s="157" t="inlineStr">
        <is>
          <t>Nguyễn Minh Khôi</t>
        </is>
      </c>
      <c r="I13" s="157" t="inlineStr">
        <is>
          <t>Passed</t>
        </is>
      </c>
      <c r="J13" s="156" t="n">
        <v>46134</v>
      </c>
      <c r="K13" s="157" t="inlineStr">
        <is>
          <t>Hoàng Văn Anh Nghĩa</t>
        </is>
      </c>
      <c r="L13" s="157" t="inlineStr">
        <is>
          <t>Passed</t>
        </is>
      </c>
      <c r="M13" s="156" t="n">
        <v>46141</v>
      </c>
      <c r="N13" s="157" t="inlineStr">
        <is>
          <t>Nguyễn Nhật Phát</t>
        </is>
      </c>
      <c r="O13" s="157" t="n"/>
    </row>
    <row r="14" ht="54" customHeight="1" s="171">
      <c r="A14" s="157" t="inlineStr">
        <is>
          <t>WRI-005</t>
        </is>
      </c>
      <c r="B14" s="157" t="inlineStr">
        <is>
          <t>Submit writing answer below min_words</t>
        </is>
      </c>
      <c r="C14" s="157" t="inlineStr">
        <is>
          <t>Active session, min_words config exists</t>
        </is>
      </c>
      <c r="D14" s="161" t="inlineStr">
        <is>
          <t>Submit text shorter than min_words</t>
        </is>
      </c>
      <c r="E14" s="161" t="inlineStr">
        <is>
          <t>422, validation error for word count</t>
        </is>
      </c>
      <c r="F14" s="157" t="inlineStr">
        <is>
          <t>Passed</t>
        </is>
      </c>
      <c r="G14" s="156" t="n">
        <v>46127</v>
      </c>
      <c r="H14" s="157" t="inlineStr">
        <is>
          <t>Hoàng Văn Anh Nghĩa</t>
        </is>
      </c>
      <c r="I14" s="157" t="inlineStr">
        <is>
          <t>Passed</t>
        </is>
      </c>
      <c r="J14" s="156" t="n">
        <v>46134</v>
      </c>
      <c r="K14" s="157" t="inlineStr">
        <is>
          <t>Nguyễn Nhật Phát</t>
        </is>
      </c>
      <c r="L14" s="157" t="inlineStr">
        <is>
          <t>Passed</t>
        </is>
      </c>
      <c r="M14" s="156" t="n">
        <v>46141</v>
      </c>
      <c r="N14" s="157" t="inlineStr">
        <is>
          <t>Nguyễn Trần Tấn Phát</t>
        </is>
      </c>
      <c r="O14" s="157" t="n"/>
    </row>
    <row r="15" ht="54" customHeight="1" s="171">
      <c r="A15" s="157" t="inlineStr">
        <is>
          <t>WRI-007</t>
        </is>
      </c>
      <c r="B15" s="157" t="inlineStr">
        <is>
          <t>Generate AI feedback for writing submission</t>
        </is>
      </c>
      <c r="C15" s="157" t="inlineStr">
        <is>
          <t>Submitted writing, AI service available</t>
        </is>
      </c>
      <c r="D15" s="161" t="inlineStr">
        <is>
          <t>POST `practice/writing/submissions/{id}/feedback`</t>
        </is>
      </c>
      <c r="E15" s="161" t="inlineStr">
        <is>
          <t>201 or 200, grading job created, SSE stream available</t>
        </is>
      </c>
      <c r="F15" s="157" t="inlineStr">
        <is>
          <t>Passed</t>
        </is>
      </c>
      <c r="G15" s="156" t="n">
        <v>46127</v>
      </c>
      <c r="H15" s="157" t="inlineStr">
        <is>
          <t>Nguyễn Nhật Phát</t>
        </is>
      </c>
      <c r="I15" s="157" t="inlineStr">
        <is>
          <t>Passed</t>
        </is>
      </c>
      <c r="J15" s="156" t="n">
        <v>46134</v>
      </c>
      <c r="K15" s="157" t="inlineStr">
        <is>
          <t>Nguyễn Trần Tấn Phát</t>
        </is>
      </c>
      <c r="L15" s="157" t="inlineStr">
        <is>
          <t>Passed</t>
        </is>
      </c>
      <c r="M15" s="156" t="n">
        <v>46141</v>
      </c>
      <c r="N15" s="157" t="inlineStr">
        <is>
          <t>Nguyễn Minh Khôi</t>
        </is>
      </c>
      <c r="O15" s="157" t="n"/>
    </row>
    <row r="16" ht="54" customHeight="1" s="171">
      <c r="A16" s="157" t="inlineStr">
        <is>
          <t>WRI-008</t>
        </is>
      </c>
      <c r="B16" s="157" t="inlineStr">
        <is>
          <t>Writing feedback SSE receives completion</t>
        </is>
      </c>
      <c r="C16" s="157" t="inlineStr">
        <is>
          <t>Grading job active</t>
        </is>
      </c>
      <c r="D16" s="161" t="inlineStr">
        <is>
          <t>Connect to grading job stream</t>
        </is>
      </c>
      <c r="E16" s="161" t="inlineStr">
        <is>
          <t>Progress events, scores event, feedback event, done event</t>
        </is>
      </c>
      <c r="F16" s="157" t="inlineStr">
        <is>
          <t>Passed</t>
        </is>
      </c>
      <c r="G16" s="156" t="n">
        <v>46127</v>
      </c>
      <c r="H16" s="157" t="inlineStr">
        <is>
          <t>Nguyễn Trần Tấn Phát</t>
        </is>
      </c>
      <c r="I16" s="157" t="inlineStr">
        <is>
          <t>Passed</t>
        </is>
      </c>
      <c r="J16" s="156" t="n">
        <v>46134</v>
      </c>
      <c r="K16" s="157" t="inlineStr">
        <is>
          <t>Nguyễn Minh Khôi</t>
        </is>
      </c>
      <c r="L16" s="157" t="inlineStr">
        <is>
          <t>Passed</t>
        </is>
      </c>
      <c r="M16" s="156" t="n">
        <v>46141</v>
      </c>
      <c r="N16" s="157" t="inlineStr">
        <is>
          <t>Hoàng Văn Anh Nghĩa</t>
        </is>
      </c>
      <c r="O16" s="157" t="n"/>
    </row>
    <row r="17" ht="54" customHeight="1" s="171">
      <c r="A17" s="157" t="inlineStr">
        <is>
          <t>WRI-010</t>
        </is>
      </c>
      <c r="B17" s="157" t="inlineStr">
        <is>
          <t>Frontend writing editor with word count</t>
        </is>
      </c>
      <c r="C17" s="157" t="inlineStr">
        <is>
          <t>Prompt detail page</t>
        </is>
      </c>
      <c r="D17" s="161" t="inlineStr">
        <is>
          <t>Type text</t>
        </is>
      </c>
      <c r="E17" s="161" t="inlineStr">
        <is>
          <t>Word count updates, min_word progress bar, validation messages</t>
        </is>
      </c>
      <c r="F17" s="157" t="inlineStr">
        <is>
          <t>Passed</t>
        </is>
      </c>
      <c r="G17" s="156" t="n">
        <v>46127</v>
      </c>
      <c r="H17" s="157" t="inlineStr">
        <is>
          <t>Nguyễn Minh Khôi</t>
        </is>
      </c>
      <c r="I17" s="157" t="inlineStr">
        <is>
          <t>Passed</t>
        </is>
      </c>
      <c r="J17" s="156" t="n">
        <v>46134</v>
      </c>
      <c r="K17" s="157" t="inlineStr">
        <is>
          <t>Hoàng Văn Anh Nghĩa</t>
        </is>
      </c>
      <c r="L17" s="157" t="inlineStr">
        <is>
          <t>Passed</t>
        </is>
      </c>
      <c r="M17" s="156" t="n">
        <v>46141</v>
      </c>
      <c r="N17" s="157" t="inlineStr">
        <is>
          <t>Nguyễn Nhật Phát</t>
        </is>
      </c>
      <c r="O17" s="157" t="n"/>
    </row>
    <row r="18" ht="54" customHeight="1" s="171">
      <c r="A18" s="157" t="inlineStr">
        <is>
          <t>WRI-011</t>
        </is>
      </c>
      <c r="B18" s="157" t="inlineStr">
        <is>
          <t>Frontend writing grading screen</t>
        </is>
      </c>
      <c r="C18" s="157" t="inlineStr">
        <is>
          <t>Submitted writing, grading in progress</t>
        </is>
      </c>
      <c r="D18" s="161" t="inlineStr">
        <is>
          <t>Wait for feedback</t>
        </is>
      </c>
      <c r="E18" s="161" t="inlineStr">
        <is>
          <t>Pending → scoring → feedback phases, overall band, rubric dimensions</t>
        </is>
      </c>
      <c r="F18" s="157" t="inlineStr">
        <is>
          <t>Passed</t>
        </is>
      </c>
      <c r="G18" s="156" t="n">
        <v>46127</v>
      </c>
      <c r="H18" s="157" t="inlineStr">
        <is>
          <t>Hoàng Văn Anh Nghĩa</t>
        </is>
      </c>
      <c r="I18" s="157" t="inlineStr">
        <is>
          <t>Passed</t>
        </is>
      </c>
      <c r="J18" s="156" t="n">
        <v>46134</v>
      </c>
      <c r="K18" s="157" t="inlineStr">
        <is>
          <t>Nguyễn Nhật Phát</t>
        </is>
      </c>
      <c r="L18" s="157" t="inlineStr">
        <is>
          <t>Passed</t>
        </is>
      </c>
      <c r="M18" s="156" t="n">
        <v>46141</v>
      </c>
      <c r="N18" s="157" t="inlineStr">
        <is>
          <t>Nguyễn Trần Tấn Phát</t>
        </is>
      </c>
      <c r="O18" s="157" t="n"/>
    </row>
    <row r="19" ht="54" customHeight="1" s="171">
      <c r="A19" s="157" t="inlineStr">
        <is>
          <t>WRI-012</t>
        </is>
      </c>
      <c r="B19" s="157" t="inlineStr">
        <is>
          <t>Frontend writing result displays sections</t>
        </is>
      </c>
      <c r="C19" s="157" t="inlineStr">
        <is>
          <t>Graded writing with feedback</t>
        </is>
      </c>
      <c r="D19" s="161" t="inlineStr">
        <is>
          <t>Open writing result</t>
        </is>
      </c>
      <c r="E19" s="161" t="inlineStr">
        <is>
          <t>Strengths, Improvements, Rewrites sections displayed</t>
        </is>
      </c>
      <c r="F19" s="157" t="inlineStr">
        <is>
          <t>Passed</t>
        </is>
      </c>
      <c r="G19" s="156" t="n">
        <v>46127</v>
      </c>
      <c r="H19" s="157" t="inlineStr">
        <is>
          <t>Nguyễn Nhật Phát</t>
        </is>
      </c>
      <c r="I19" s="157" t="inlineStr">
        <is>
          <t>Passed</t>
        </is>
      </c>
      <c r="J19" s="156" t="n">
        <v>46134</v>
      </c>
      <c r="K19" s="157" t="inlineStr">
        <is>
          <t>Nguyễn Trần Tấn Phát</t>
        </is>
      </c>
      <c r="L19" s="157" t="inlineStr">
        <is>
          <t>Passed</t>
        </is>
      </c>
      <c r="M19" s="156" t="n">
        <v>46141</v>
      </c>
      <c r="N19" s="157" t="inlineStr">
        <is>
          <t>Nguyễn Minh Khôi</t>
        </is>
      </c>
      <c r="O19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Speaking Drills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Pronunciation drill, recording, feedback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Practice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SPK-DRL-004</t>
        </is>
      </c>
      <c r="B12" s="168" t="inlineStr">
        <is>
          <t>Record drill attempt with audio</t>
        </is>
      </c>
      <c r="C12" s="168" t="inlineStr">
        <is>
          <t>Active drill session</t>
        </is>
      </c>
      <c r="D12" s="161" t="inlineStr">
        <is>
          <t>POST `practice/speaking/drill-sessions/{id}/attempt` with audio file</t>
        </is>
      </c>
      <c r="E12" s="162" t="inlineStr">
        <is>
          <t>200, attempt recorded, pronunciation/fluency feedback</t>
        </is>
      </c>
      <c r="F12" s="157" t="inlineStr">
        <is>
          <t>Passed</t>
        </is>
      </c>
      <c r="G12" s="156" t="n">
        <v>46127</v>
      </c>
      <c r="H12" s="157" t="inlineStr">
        <is>
          <t>Nguyễn Minh Khôi</t>
        </is>
      </c>
      <c r="I12" s="157" t="inlineStr">
        <is>
          <t>Passed</t>
        </is>
      </c>
      <c r="J12" s="156" t="n">
        <v>46134</v>
      </c>
      <c r="K12" s="157" t="inlineStr">
        <is>
          <t>Hoàng Văn Anh Nghĩa</t>
        </is>
      </c>
      <c r="L12" s="157" t="inlineStr">
        <is>
          <t>Passed</t>
        </is>
      </c>
      <c r="M12" s="156" t="n">
        <v>46141</v>
      </c>
      <c r="N12" s="157" t="inlineStr">
        <is>
          <t>Nguyễn Nhật Phát</t>
        </is>
      </c>
      <c r="O12" s="157" t="n"/>
    </row>
    <row r="13" ht="54" customHeight="1" s="171">
      <c r="A13" s="157" t="inlineStr">
        <is>
          <t>SPK-DRL-006</t>
        </is>
      </c>
      <c r="B13" s="157" t="inlineStr">
        <is>
          <t>Frontend speaking drill list with filters</t>
        </is>
      </c>
      <c r="C13" s="157" t="inlineStr">
        <is>
          <t>Drills with different levels</t>
        </is>
      </c>
      <c r="D13" s="161" t="inlineStr">
        <is>
          <t>Open speaking practice, drills tab</t>
        </is>
      </c>
      <c r="E13" s="161" t="inlineStr">
        <is>
          <t>Drills displayed, level filters, practice history link</t>
        </is>
      </c>
      <c r="F13" s="157" t="inlineStr">
        <is>
          <t>Passed</t>
        </is>
      </c>
      <c r="G13" s="156" t="n">
        <v>46127</v>
      </c>
      <c r="H13" s="157" t="inlineStr">
        <is>
          <t>Hoàng Văn Anh Nghĩa</t>
        </is>
      </c>
      <c r="I13" s="157" t="inlineStr">
        <is>
          <t>Passed</t>
        </is>
      </c>
      <c r="J13" s="156" t="n">
        <v>46134</v>
      </c>
      <c r="K13" s="157" t="inlineStr">
        <is>
          <t>Nguyễn Nhật Phát</t>
        </is>
      </c>
      <c r="L13" s="157" t="inlineStr">
        <is>
          <t>Passed</t>
        </is>
      </c>
      <c r="M13" s="156" t="n">
        <v>46141</v>
      </c>
      <c r="N13" s="157" t="inlineStr">
        <is>
          <t>Nguyễn Trần Tấn Phát</t>
        </is>
      </c>
      <c r="O13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VSTEP Speaking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VSTEP session, submit, grading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Practice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SPK-VST-004</t>
        </is>
      </c>
      <c r="B12" s="168" t="inlineStr">
        <is>
          <t>Submit VSTEP speaking session</t>
        </is>
      </c>
      <c r="C12" s="168" t="inlineStr">
        <is>
          <t>Active session</t>
        </is>
      </c>
      <c r="D12" s="161" t="inlineStr">
        <is>
          <t>POST `practice/speaking/vstep-sessions/{id}/submit` with audio answers</t>
        </is>
      </c>
      <c r="E12" s="162" t="inlineStr">
        <is>
          <t>200, submission accepted, grading job triggered</t>
        </is>
      </c>
      <c r="F12" s="157" t="inlineStr">
        <is>
          <t>Passed</t>
        </is>
      </c>
      <c r="G12" s="156" t="n">
        <v>46127</v>
      </c>
      <c r="H12" s="157" t="inlineStr">
        <is>
          <t>Hoàng Văn Anh Nghĩa</t>
        </is>
      </c>
      <c r="I12" s="157" t="inlineStr">
        <is>
          <t>Passed</t>
        </is>
      </c>
      <c r="J12" s="156" t="n">
        <v>46134</v>
      </c>
      <c r="K12" s="157" t="inlineStr">
        <is>
          <t>Nguyễn Nhật Phát</t>
        </is>
      </c>
      <c r="L12" s="157" t="inlineStr">
        <is>
          <t>Passed</t>
        </is>
      </c>
      <c r="M12" s="156" t="n">
        <v>46141</v>
      </c>
      <c r="N12" s="157" t="inlineStr">
        <is>
          <t>Nguyễn Trần Tấn Phát</t>
        </is>
      </c>
      <c r="O12" s="157" t="n"/>
    </row>
    <row r="13" ht="54" customHeight="1" s="171">
      <c r="A13" s="157" t="inlineStr">
        <is>
          <t>SPK-VST-006</t>
        </is>
      </c>
      <c r="B13" s="157" t="inlineStr">
        <is>
          <t>Frontend VSTEP speaking task practice</t>
        </is>
      </c>
      <c r="C13" s="157" t="inlineStr">
        <is>
          <t>Task exists in web app</t>
        </is>
      </c>
      <c r="D13" s="161" t="inlineStr">
        <is>
          <t>Select task, record per part, submit</t>
        </is>
      </c>
      <c r="E13" s="161" t="inlineStr">
        <is>
          <t>Submit confirmation, waiting for grading</t>
        </is>
      </c>
      <c r="F13" s="157" t="inlineStr">
        <is>
          <t>Passed</t>
        </is>
      </c>
      <c r="G13" s="156" t="n">
        <v>46127</v>
      </c>
      <c r="H13" s="157" t="inlineStr">
        <is>
          <t>Nguyễn Nhật Phát</t>
        </is>
      </c>
      <c r="I13" s="157" t="inlineStr">
        <is>
          <t>Passed</t>
        </is>
      </c>
      <c r="J13" s="156" t="n">
        <v>46134</v>
      </c>
      <c r="K13" s="157" t="inlineStr">
        <is>
          <t>Nguyễn Trần Tấn Phát</t>
        </is>
      </c>
      <c r="L13" s="157" t="inlineStr">
        <is>
          <t>Passed</t>
        </is>
      </c>
      <c r="M13" s="156" t="n">
        <v>46141</v>
      </c>
      <c r="N13" s="157" t="inlineStr">
        <is>
          <t>Nguyễn Minh Khôi</t>
        </is>
      </c>
      <c r="O13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Conversation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Scenario start, turns, review, feedback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Practice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SPK-CONV-003</t>
        </is>
      </c>
      <c r="B12" s="168" t="inlineStr">
        <is>
          <t>Start conversation session</t>
        </is>
      </c>
      <c r="C12" s="168" t="inlineStr">
        <is>
          <t>Scenario exists, authenticated</t>
        </is>
      </c>
      <c r="D12" s="161" t="inlineStr">
        <is>
          <t>POST `practice/speaking/conversations`</t>
        </is>
      </c>
      <c r="E12" s="162" t="inlineStr">
        <is>
          <t>201, conversation session with first AI turn</t>
        </is>
      </c>
      <c r="F12" s="157" t="inlineStr">
        <is>
          <t>Passed</t>
        </is>
      </c>
      <c r="G12" s="156" t="n">
        <v>46127</v>
      </c>
      <c r="H12" s="157" t="inlineStr">
        <is>
          <t>Nguyễn Nhật Phát</t>
        </is>
      </c>
      <c r="I12" s="157" t="inlineStr">
        <is>
          <t>Passed</t>
        </is>
      </c>
      <c r="J12" s="156" t="n">
        <v>46134</v>
      </c>
      <c r="K12" s="157" t="inlineStr">
        <is>
          <t>Nguyễn Trần Tấn Phát</t>
        </is>
      </c>
      <c r="L12" s="157" t="inlineStr">
        <is>
          <t>Passed</t>
        </is>
      </c>
      <c r="M12" s="156" t="n">
        <v>46141</v>
      </c>
      <c r="N12" s="157" t="inlineStr">
        <is>
          <t>Nguyễn Minh Khôi</t>
        </is>
      </c>
      <c r="O12" s="157" t="n"/>
    </row>
    <row r="13" ht="54" customHeight="1" s="171">
      <c r="A13" s="157" t="inlineStr">
        <is>
          <t>SPK-CONV-004</t>
        </is>
      </c>
      <c r="B13" s="157" t="inlineStr">
        <is>
          <t>Send conversation turn</t>
        </is>
      </c>
      <c r="C13" s="157" t="inlineStr">
        <is>
          <t>Active conversation</t>
        </is>
      </c>
      <c r="D13" s="161" t="inlineStr">
        <is>
          <t>POST `practice/speaking/conversations/{id}/turn` with audio + text</t>
        </is>
      </c>
      <c r="E13" s="161" t="inlineStr">
        <is>
          <t>200, AI responds with next turn</t>
        </is>
      </c>
      <c r="F13" s="157" t="inlineStr">
        <is>
          <t>Passed</t>
        </is>
      </c>
      <c r="G13" s="156" t="n">
        <v>46127</v>
      </c>
      <c r="H13" s="157" t="inlineStr">
        <is>
          <t>Nguyễn Trần Tấn Phát</t>
        </is>
      </c>
      <c r="I13" s="157" t="inlineStr">
        <is>
          <t>Passed</t>
        </is>
      </c>
      <c r="J13" s="156" t="n">
        <v>46134</v>
      </c>
      <c r="K13" s="157" t="inlineStr">
        <is>
          <t>Nguyễn Minh Khôi</t>
        </is>
      </c>
      <c r="L13" s="157" t="inlineStr">
        <is>
          <t>Passed</t>
        </is>
      </c>
      <c r="M13" s="156" t="n">
        <v>46141</v>
      </c>
      <c r="N13" s="157" t="inlineStr">
        <is>
          <t>Hoàng Văn Anh Nghĩa</t>
        </is>
      </c>
      <c r="O13" s="157" t="n"/>
    </row>
    <row r="14" ht="54" customHeight="1" s="171">
      <c r="A14" s="157" t="inlineStr">
        <is>
          <t>SPK-CONV-006</t>
        </is>
      </c>
      <c r="B14" s="157" t="inlineStr">
        <is>
          <t>Conversation review with feedback</t>
        </is>
      </c>
      <c r="C14" s="157" t="inlineStr">
        <is>
          <t>Ended conversation</t>
        </is>
      </c>
      <c r="D14" s="161" t="inlineStr">
        <is>
          <t>GET `practice/speaking/conversations/{id}/review`</t>
        </is>
      </c>
      <c r="E14" s="161" t="inlineStr">
        <is>
          <t>200, review with content relevance, task fulfillment, pronunciation, feedback per turn</t>
        </is>
      </c>
      <c r="F14" s="157" t="inlineStr">
        <is>
          <t>Passed</t>
        </is>
      </c>
      <c r="G14" s="156" t="n">
        <v>46127</v>
      </c>
      <c r="H14" s="157" t="inlineStr">
        <is>
          <t>Nguyễn Minh Khôi</t>
        </is>
      </c>
      <c r="I14" s="157" t="inlineStr">
        <is>
          <t>Passed</t>
        </is>
      </c>
      <c r="J14" s="156" t="n">
        <v>46134</v>
      </c>
      <c r="K14" s="157" t="inlineStr">
        <is>
          <t>Hoàng Văn Anh Nghĩa</t>
        </is>
      </c>
      <c r="L14" s="157" t="inlineStr">
        <is>
          <t>Passed</t>
        </is>
      </c>
      <c r="M14" s="156" t="n">
        <v>46141</v>
      </c>
      <c r="N14" s="157" t="inlineStr">
        <is>
          <t>Nguyễn Nhật Phát</t>
        </is>
      </c>
      <c r="O14" s="157" t="n"/>
    </row>
    <row r="15" ht="54" customHeight="1" s="171">
      <c r="A15" s="157" t="inlineStr">
        <is>
          <t>SPK-CONV-008</t>
        </is>
      </c>
      <c r="B15" s="157" t="inlineStr">
        <is>
          <t>Frontend conversation flow</t>
        </is>
      </c>
      <c r="C15" s="157" t="inlineStr">
        <is>
          <t>Scenario selected</t>
        </is>
      </c>
      <c r="D15" s="161" t="inlineStr">
        <is>
          <t>Start scenario, speak/respond, end conversation</t>
        </is>
      </c>
      <c r="E15" s="161" t="inlineStr">
        <is>
          <t>Turn-by-turn UI, review popup with feedback</t>
        </is>
      </c>
      <c r="F15" s="157" t="inlineStr">
        <is>
          <t>Passed</t>
        </is>
      </c>
      <c r="G15" s="156" t="n">
        <v>46127</v>
      </c>
      <c r="H15" s="157" t="inlineStr">
        <is>
          <t>Hoàng Văn Anh Nghĩa</t>
        </is>
      </c>
      <c r="I15" s="157" t="inlineStr">
        <is>
          <t>Passed</t>
        </is>
      </c>
      <c r="J15" s="156" t="n">
        <v>46134</v>
      </c>
      <c r="K15" s="157" t="inlineStr">
        <is>
          <t>Nguyễn Nhật Phát</t>
        </is>
      </c>
      <c r="L15" s="157" t="inlineStr">
        <is>
          <t>Passed</t>
        </is>
      </c>
      <c r="M15" s="156" t="n">
        <v>46141</v>
      </c>
      <c r="N15" s="157" t="inlineStr">
        <is>
          <t>Nguyễn Trần Tấn Phát</t>
        </is>
      </c>
      <c r="O15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Shadowing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Shadowing session, playback, recording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Practice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SPK-SHA-003</t>
        </is>
      </c>
      <c r="B12" s="168" t="inlineStr">
        <is>
          <t>Frontend shadowing session</t>
        </is>
      </c>
      <c r="C12" s="168" t="inlineStr">
        <is>
          <t>Lesson exists</t>
        </is>
      </c>
      <c r="D12" s="161" t="inlineStr">
        <is>
          <t>Open shadowing lesson, play audio, record, compare</t>
        </is>
      </c>
      <c r="E12" s="162" t="inlineStr">
        <is>
          <t>Segment-by-segment flow, pronunciation feedback</t>
        </is>
      </c>
      <c r="F12" s="157" t="inlineStr">
        <is>
          <t>Passed</t>
        </is>
      </c>
      <c r="G12" s="156" t="n">
        <v>46127</v>
      </c>
      <c r="H12" s="157" t="inlineStr">
        <is>
          <t>Nguyễn Trần Tấn Phát</t>
        </is>
      </c>
      <c r="I12" s="157" t="inlineStr">
        <is>
          <t>Passed</t>
        </is>
      </c>
      <c r="J12" s="156" t="n">
        <v>46134</v>
      </c>
      <c r="K12" s="157" t="inlineStr">
        <is>
          <t>Nguyễn Minh Khôi</t>
        </is>
      </c>
      <c r="L12" s="157" t="inlineStr">
        <is>
          <t>Passed</t>
        </is>
      </c>
      <c r="M12" s="156" t="n">
        <v>46141</v>
      </c>
      <c r="N12" s="157" t="inlineStr">
        <is>
          <t>Hoàng Văn Anh Nghĩa</t>
        </is>
      </c>
      <c r="O12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Exam Library &amp; Detail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List, status cards, detail, skill selector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Exam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EXAM-LIB-001</t>
        </is>
      </c>
      <c r="B12" s="168" t="inlineStr">
        <is>
          <t>List published exams with config and sessions</t>
        </is>
      </c>
      <c r="C12" s="168" t="inlineStr">
        <is>
          <t>Published exams exist, authenticated learner</t>
        </is>
      </c>
      <c r="D12" s="161" t="inlineStr">
        <is>
          <t>GET `exams`, GET `config`, GET `exam-sessions`</t>
        </is>
      </c>
      <c r="E12" s="162" t="inlineStr">
        <is>
          <t>Exam cards show with status: not-started/in-progress/submitted</t>
        </is>
      </c>
      <c r="F12" s="157" t="inlineStr">
        <is>
          <t>Passed</t>
        </is>
      </c>
      <c r="G12" s="156" t="n">
        <v>46127</v>
      </c>
      <c r="H12" s="157" t="inlineStr">
        <is>
          <t>Nguyễn Minh Khôi</t>
        </is>
      </c>
      <c r="I12" s="157" t="inlineStr">
        <is>
          <t>Passed</t>
        </is>
      </c>
      <c r="J12" s="156" t="n">
        <v>46134</v>
      </c>
      <c r="K12" s="157" t="inlineStr">
        <is>
          <t>Hoàng Văn Anh Nghĩa</t>
        </is>
      </c>
      <c r="L12" s="157" t="inlineStr">
        <is>
          <t>Passed</t>
        </is>
      </c>
      <c r="M12" s="156" t="n">
        <v>46141</v>
      </c>
      <c r="N12" s="157" t="inlineStr">
        <is>
          <t>Nguyễn Nhật Phát</t>
        </is>
      </c>
      <c r="O12" s="157" t="n"/>
    </row>
    <row r="13" ht="54" customHeight="1" s="171">
      <c r="A13" s="157" t="inlineStr">
        <is>
          <t>EXAM-LIB-003</t>
        </is>
      </c>
      <c r="B13" s="157" t="inlineStr">
        <is>
          <t>Filter exam by status all/not-started/in-progress/submitted</t>
        </is>
      </c>
      <c r="C13" s="157" t="inlineStr">
        <is>
          <t>Mixed status exams</t>
        </is>
      </c>
      <c r="D13" s="161" t="inlineStr">
        <is>
          <t>Switch filter tab, URL search param `status` updates</t>
        </is>
      </c>
      <c r="E13" s="161" t="inlineStr">
        <is>
          <t>Correct cards displayed, tab counts update</t>
        </is>
      </c>
      <c r="F13" s="157" t="inlineStr">
        <is>
          <t>Passed</t>
        </is>
      </c>
      <c r="G13" s="156" t="n">
        <v>46127</v>
      </c>
      <c r="H13" s="157" t="inlineStr">
        <is>
          <t>Hoàng Văn Anh Nghĩa</t>
        </is>
      </c>
      <c r="I13" s="157" t="inlineStr">
        <is>
          <t>Passed</t>
        </is>
      </c>
      <c r="J13" s="156" t="n">
        <v>46134</v>
      </c>
      <c r="K13" s="157" t="inlineStr">
        <is>
          <t>Nguyễn Nhật Phát</t>
        </is>
      </c>
      <c r="L13" s="157" t="inlineStr">
        <is>
          <t>Passed</t>
        </is>
      </c>
      <c r="M13" s="156" t="n">
        <v>46141</v>
      </c>
      <c r="N13" s="157" t="inlineStr">
        <is>
          <t>Nguyễn Trần Tấn Phát</t>
        </is>
      </c>
      <c r="O13" s="157" t="n"/>
    </row>
    <row r="14" ht="54" customHeight="1" s="171">
      <c r="A14" s="157" t="inlineStr">
        <is>
          <t>EXAM-DET-001</t>
        </is>
      </c>
      <c r="B14" s="157" t="inlineStr">
        <is>
          <t>Show exam detail with sections</t>
        </is>
      </c>
      <c r="C14" s="157" t="inlineStr">
        <is>
          <t>Published exam with version</t>
        </is>
      </c>
      <c r="D14" s="161" t="inlineStr">
        <is>
          <t>GET `exams/{id}`</t>
        </is>
      </c>
      <c r="E14" s="161" t="inlineStr">
        <is>
          <t>200, exam detail with version, listening/reading/writing/speaking sections, session history</t>
        </is>
      </c>
      <c r="F14" s="157" t="inlineStr">
        <is>
          <t>Passed</t>
        </is>
      </c>
      <c r="G14" s="156" t="n">
        <v>46127</v>
      </c>
      <c r="H14" s="157" t="inlineStr">
        <is>
          <t>Nguyễn Nhật Phát</t>
        </is>
      </c>
      <c r="I14" s="157" t="inlineStr">
        <is>
          <t>Passed</t>
        </is>
      </c>
      <c r="J14" s="156" t="n">
        <v>46134</v>
      </c>
      <c r="K14" s="157" t="inlineStr">
        <is>
          <t>Nguyễn Trần Tấn Phát</t>
        </is>
      </c>
      <c r="L14" s="157" t="inlineStr">
        <is>
          <t>Passed</t>
        </is>
      </c>
      <c r="M14" s="156" t="n">
        <v>46141</v>
      </c>
      <c r="N14" s="157" t="inlineStr">
        <is>
          <t>Nguyễn Minh Khôi</t>
        </is>
      </c>
      <c r="O14" s="157" t="n"/>
    </row>
    <row r="15" ht="54" customHeight="1" s="171">
      <c r="A15" s="157" t="inlineStr">
        <is>
          <t>EXAM-DET-002</t>
        </is>
      </c>
      <c r="B15" s="157" t="inlineStr">
        <is>
          <t>Skill selector expands skill rows</t>
        </is>
      </c>
      <c r="C15" s="157" t="inlineStr">
        <is>
          <t>Exam detail page</t>
        </is>
      </c>
      <c r="D15" s="161" t="inlineStr">
        <is>
          <t>Toggle Listening/Reading/Writing/Speaking checkboxes</t>
        </is>
      </c>
      <c r="E15" s="161" t="inlineStr">
        <is>
          <t>Selected count, skill rows with part info, duration panel update</t>
        </is>
      </c>
      <c r="F15" s="157" t="inlineStr">
        <is>
          <t>Passed</t>
        </is>
      </c>
      <c r="G15" s="156" t="n">
        <v>46127</v>
      </c>
      <c r="H15" s="157" t="inlineStr">
        <is>
          <t>Nguyễn Trần Tấn Phát</t>
        </is>
      </c>
      <c r="I15" s="157" t="inlineStr">
        <is>
          <t>Passed</t>
        </is>
      </c>
      <c r="J15" s="156" t="n">
        <v>46134</v>
      </c>
      <c r="K15" s="157" t="inlineStr">
        <is>
          <t>Nguyễn Minh Khôi</t>
        </is>
      </c>
      <c r="L15" s="157" t="inlineStr">
        <is>
          <t>Passed</t>
        </is>
      </c>
      <c r="M15" s="156" t="n">
        <v>46141</v>
      </c>
      <c r="N15" s="157" t="inlineStr">
        <is>
          <t>Hoàng Văn Anh Nghĩa</t>
        </is>
      </c>
      <c r="O15" s="157" t="n"/>
    </row>
    <row r="16" ht="54" customHeight="1" s="171">
      <c r="A16" s="157" t="inlineStr">
        <is>
          <t>EXAM-DET-003</t>
        </is>
      </c>
      <c r="B16" s="157" t="inlineStr">
        <is>
          <t>Full test cost displays correctly</t>
        </is>
      </c>
      <c r="C16" s="157" t="inlineStr">
        <is>
          <t>Config pricing loaded</t>
        </is>
      </c>
      <c r="D16" s="161" t="inlineStr">
        <is>
          <t>No skill selected</t>
        </is>
      </c>
      <c r="E16" s="161" t="inlineStr">
        <is>
          <t>Full-test cost displayed in bottom action bar</t>
        </is>
      </c>
      <c r="F16" s="157" t="inlineStr">
        <is>
          <t>Passed</t>
        </is>
      </c>
      <c r="G16" s="156" t="n">
        <v>46127</v>
      </c>
      <c r="H16" s="157" t="inlineStr">
        <is>
          <t>Nguyễn Minh Khôi</t>
        </is>
      </c>
      <c r="I16" s="157" t="inlineStr">
        <is>
          <t>Passed</t>
        </is>
      </c>
      <c r="J16" s="156" t="n">
        <v>46134</v>
      </c>
      <c r="K16" s="157" t="inlineStr">
        <is>
          <t>Hoàng Văn Anh Nghĩa</t>
        </is>
      </c>
      <c r="L16" s="157" t="inlineStr">
        <is>
          <t>Passed</t>
        </is>
      </c>
      <c r="M16" s="156" t="n">
        <v>46141</v>
      </c>
      <c r="N16" s="157" t="inlineStr">
        <is>
          <t>Nguyễn Nhật Phát</t>
        </is>
      </c>
      <c r="O16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Start Exam Session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Full/custom start, coin, insufficient balance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Exam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EXAM-START-001</t>
        </is>
      </c>
      <c r="B12" s="168" t="inlineStr">
        <is>
          <t>Start full test session charges coins</t>
        </is>
      </c>
      <c r="C12" s="168" t="inlineStr">
        <is>
          <t>Wallet balance ≥ 25 coins</t>
        </is>
      </c>
      <c r="D12" s="161" t="inlineStr">
        <is>
          <t>POST `exams/{examId}/sessions` mode=full</t>
        </is>
      </c>
      <c r="E12" s="162" t="inlineStr">
        <is>
          <t>201, coins_charged=25, wallet debited, session_id returned</t>
        </is>
      </c>
      <c r="F12" s="157" t="inlineStr">
        <is>
          <t>Passed</t>
        </is>
      </c>
      <c r="G12" s="156" t="n">
        <v>46127</v>
      </c>
      <c r="H12" s="157" t="inlineStr">
        <is>
          <t>Hoàng Văn Anh Nghĩa</t>
        </is>
      </c>
      <c r="I12" s="157" t="inlineStr">
        <is>
          <t>Passed</t>
        </is>
      </c>
      <c r="J12" s="156" t="n">
        <v>46134</v>
      </c>
      <c r="K12" s="157" t="inlineStr">
        <is>
          <t>Nguyễn Nhật Phát</t>
        </is>
      </c>
      <c r="L12" s="157" t="inlineStr">
        <is>
          <t>Passed</t>
        </is>
      </c>
      <c r="M12" s="156" t="n">
        <v>46141</v>
      </c>
      <c r="N12" s="157" t="inlineStr">
        <is>
          <t>Nguyễn Trần Tấn Phát</t>
        </is>
      </c>
      <c r="O12" s="157" t="n"/>
    </row>
    <row r="13" ht="54" customHeight="1" s="171">
      <c r="A13" s="157" t="inlineStr">
        <is>
          <t>EXAM-START-002</t>
        </is>
      </c>
      <c r="B13" s="157" t="inlineStr">
        <is>
          <t>Start custom session charges per skill</t>
        </is>
      </c>
      <c r="C13" s="157" t="inlineStr">
        <is>
          <t>Wallet balance ≥ per-skill cost</t>
        </is>
      </c>
      <c r="D13" s="161" t="inlineStr">
        <is>
          <t>POST mode=custom, selected_skills</t>
        </is>
      </c>
      <c r="E13" s="161" t="inlineStr">
        <is>
          <t>201, coins_charged=selected×8, wallet debited</t>
        </is>
      </c>
      <c r="F13" s="157" t="inlineStr">
        <is>
          <t>Passed</t>
        </is>
      </c>
      <c r="G13" s="156" t="n">
        <v>46127</v>
      </c>
      <c r="H13" s="157" t="inlineStr">
        <is>
          <t>Nguyễn Nhật Phát</t>
        </is>
      </c>
      <c r="I13" s="157" t="inlineStr">
        <is>
          <t>Passed</t>
        </is>
      </c>
      <c r="J13" s="156" t="n">
        <v>46134</v>
      </c>
      <c r="K13" s="157" t="inlineStr">
        <is>
          <t>Nguyễn Trần Tấn Phát</t>
        </is>
      </c>
      <c r="L13" s="157" t="inlineStr">
        <is>
          <t>Passed</t>
        </is>
      </c>
      <c r="M13" s="156" t="n">
        <v>46141</v>
      </c>
      <c r="N13" s="157" t="inlineStr">
        <is>
          <t>Nguyễn Minh Khôi</t>
        </is>
      </c>
      <c r="O13" s="157" t="n"/>
    </row>
    <row r="14" ht="54" customHeight="1" s="171">
      <c r="A14" s="157" t="inlineStr">
        <is>
          <t>EXAM-START-003</t>
        </is>
      </c>
      <c r="B14" s="157" t="inlineStr">
        <is>
          <t>Insufficient balance rejects session</t>
        </is>
      </c>
      <c r="C14" s="157" t="inlineStr">
        <is>
          <t>Wallet balance &lt; cost</t>
        </is>
      </c>
      <c r="D14" s="161" t="inlineStr">
        <is>
          <t>POST exam session creation</t>
        </is>
      </c>
      <c r="E14" s="161" t="inlineStr">
        <is>
          <t>422, session not created, balance unchanged</t>
        </is>
      </c>
      <c r="F14" s="157" t="inlineStr">
        <is>
          <t>Passed</t>
        </is>
      </c>
      <c r="G14" s="156" t="n">
        <v>46127</v>
      </c>
      <c r="H14" s="157" t="inlineStr">
        <is>
          <t>Nguyễn Trần Tấn Phát</t>
        </is>
      </c>
      <c r="I14" s="157" t="inlineStr">
        <is>
          <t>Passed</t>
        </is>
      </c>
      <c r="J14" s="156" t="n">
        <v>46134</v>
      </c>
      <c r="K14" s="157" t="inlineStr">
        <is>
          <t>Nguyễn Minh Khôi</t>
        </is>
      </c>
      <c r="L14" s="157" t="inlineStr">
        <is>
          <t>Passed</t>
        </is>
      </c>
      <c r="M14" s="156" t="n">
        <v>46141</v>
      </c>
      <c r="N14" s="157" t="inlineStr">
        <is>
          <t>Hoàng Văn Anh Nghĩa</t>
        </is>
      </c>
      <c r="O14" s="157" t="n"/>
    </row>
    <row r="15" ht="54" customHeight="1" s="171">
      <c r="A15" s="157" t="inlineStr">
        <is>
          <t>EXAM-START-004</t>
        </is>
      </c>
      <c r="B15" s="157" t="inlineStr">
        <is>
          <t>Frontend shows top-up dialog when low balance</t>
        </is>
      </c>
      <c r="C15" s="157" t="inlineStr">
        <is>
          <t>Wallet low</t>
        </is>
      </c>
      <c r="D15" s="161" t="inlineStr">
        <is>
          <t>Click start exam</t>
        </is>
      </c>
      <c r="E15" s="161" t="inlineStr">
        <is>
          <t>TopUpDialog opens, session start blocked</t>
        </is>
      </c>
      <c r="F15" s="157" t="inlineStr">
        <is>
          <t>Passed</t>
        </is>
      </c>
      <c r="G15" s="156" t="n">
        <v>46127</v>
      </c>
      <c r="H15" s="157" t="inlineStr">
        <is>
          <t>Nguyễn Minh Khôi</t>
        </is>
      </c>
      <c r="I15" s="157" t="inlineStr">
        <is>
          <t>Passed</t>
        </is>
      </c>
      <c r="J15" s="156" t="n">
        <v>46134</v>
      </c>
      <c r="K15" s="157" t="inlineStr">
        <is>
          <t>Hoàng Văn Anh Nghĩa</t>
        </is>
      </c>
      <c r="L15" s="157" t="inlineStr">
        <is>
          <t>Passed</t>
        </is>
      </c>
      <c r="M15" s="156" t="n">
        <v>46141</v>
      </c>
      <c r="N15" s="157" t="inlineStr">
        <is>
          <t>Nguyễn Nhật Phát</t>
        </is>
      </c>
      <c r="O15" s="157" t="n"/>
    </row>
    <row r="16" ht="54" customHeight="1" s="171">
      <c r="A16" s="157" t="inlineStr">
        <is>
          <t>EXAM-START-005</t>
        </is>
      </c>
      <c r="B16" s="157" t="inlineStr">
        <is>
          <t>Continue active same-exam session</t>
        </is>
      </c>
      <c r="C16" s="157" t="inlineStr">
        <is>
          <t>Active non-expired session exists</t>
        </is>
      </c>
      <c r="D16" s="161" t="inlineStr">
        <is>
          <t>Click continue on exam card/detail</t>
        </is>
      </c>
      <c r="E16" s="161" t="inlineStr">
        <is>
          <t>Navigate to existing /phong-thi/{sessionId}</t>
        </is>
      </c>
      <c r="F16" s="157" t="inlineStr">
        <is>
          <t>Passed</t>
        </is>
      </c>
      <c r="G16" s="156" t="n">
        <v>46127</v>
      </c>
      <c r="H16" s="157" t="inlineStr">
        <is>
          <t>Hoàng Văn Anh Nghĩa</t>
        </is>
      </c>
      <c r="I16" s="157" t="inlineStr">
        <is>
          <t>Passed</t>
        </is>
      </c>
      <c r="J16" s="156" t="n">
        <v>46134</v>
      </c>
      <c r="K16" s="157" t="inlineStr">
        <is>
          <t>Nguyễn Nhật Phát</t>
        </is>
      </c>
      <c r="L16" s="157" t="inlineStr">
        <is>
          <t>Passed</t>
        </is>
      </c>
      <c r="M16" s="156" t="n">
        <v>46141</v>
      </c>
      <c r="N16" s="157" t="inlineStr">
        <is>
          <t>Nguyễn Trần Tấn Phát</t>
        </is>
      </c>
      <c r="O16" s="157" t="n"/>
    </row>
    <row r="17" ht="54" customHeight="1" s="171">
      <c r="A17" s="157" t="inlineStr">
        <is>
          <t>EXAM-DC-001</t>
        </is>
      </c>
      <c r="B17" s="157" t="inlineStr">
        <is>
          <t>Device check shows exam structure and media tests</t>
        </is>
      </c>
      <c r="C17" s="157" t="inlineStr">
        <is>
          <t>Session includes Listening and Speaking</t>
        </is>
      </c>
      <c r="D17" s="161" t="inlineStr">
        <is>
          <t>Enter exam room before start</t>
        </is>
      </c>
      <c r="E17" s="161" t="inlineStr">
        <is>
          <t>Structure, duration, audio test, microphone test, notes, start button</t>
        </is>
      </c>
      <c r="F17" s="157" t="inlineStr">
        <is>
          <t>Passed</t>
        </is>
      </c>
      <c r="G17" s="156" t="n">
        <v>46127</v>
      </c>
      <c r="H17" s="157" t="inlineStr">
        <is>
          <t>Nguyễn Nhật Phát</t>
        </is>
      </c>
      <c r="I17" s="157" t="inlineStr">
        <is>
          <t>Passed</t>
        </is>
      </c>
      <c r="J17" s="156" t="n">
        <v>46134</v>
      </c>
      <c r="K17" s="157" t="inlineStr">
        <is>
          <t>Nguyễn Trần Tấn Phát</t>
        </is>
      </c>
      <c r="L17" s="157" t="inlineStr">
        <is>
          <t>Passed</t>
        </is>
      </c>
      <c r="M17" s="156" t="n">
        <v>46141</v>
      </c>
      <c r="N17" s="157" t="inlineStr">
        <is>
          <t>Nguyễn Minh Khôi</t>
        </is>
      </c>
      <c r="O17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Draft Autosave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Save, autosave debounce, resume from draft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Exam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EXAM-DRAFT-001</t>
        </is>
      </c>
      <c r="B12" s="168" t="inlineStr">
        <is>
          <t>Save exam draft</t>
        </is>
      </c>
      <c r="C12" s="168" t="inlineStr">
        <is>
          <t>Active session, answers exist</t>
        </is>
      </c>
      <c r="D12" s="161" t="inlineStr">
        <is>
          <t>PUT `exam-sessions/{id}/draft`</t>
        </is>
      </c>
      <c r="E12" s="162" t="inlineStr">
        <is>
          <t>200, draft saved with skill_idx, mcq_answers, writing_answers, speaking_marks</t>
        </is>
      </c>
      <c r="F12" s="157" t="inlineStr">
        <is>
          <t>Passed</t>
        </is>
      </c>
      <c r="G12" s="156" t="n">
        <v>46127</v>
      </c>
      <c r="H12" s="157" t="inlineStr">
        <is>
          <t>Nguyễn Nhật Phát</t>
        </is>
      </c>
      <c r="I12" s="157" t="inlineStr">
        <is>
          <t>Passed</t>
        </is>
      </c>
      <c r="J12" s="156" t="n">
        <v>46134</v>
      </c>
      <c r="K12" s="157" t="inlineStr">
        <is>
          <t>Nguyễn Trần Tấn Phát</t>
        </is>
      </c>
      <c r="L12" s="157" t="inlineStr">
        <is>
          <t>Passed</t>
        </is>
      </c>
      <c r="M12" s="156" t="n">
        <v>46141</v>
      </c>
      <c r="N12" s="157" t="inlineStr">
        <is>
          <t>Nguyễn Minh Khôi</t>
        </is>
      </c>
      <c r="O12" s="157" t="n"/>
    </row>
    <row r="13" ht="54" customHeight="1" s="171">
      <c r="A13" s="157" t="inlineStr">
        <is>
          <t>EXAM-DRAFT-003</t>
        </is>
      </c>
      <c r="B13" s="157" t="inlineStr">
        <is>
          <t>Draft autosave debounce in frontend</t>
        </is>
      </c>
      <c r="C13" s="157" t="inlineStr">
        <is>
          <t>Active exam, answers change</t>
        </is>
      </c>
      <c r="D13" s="161" t="inlineStr">
        <is>
          <t>Answer MCQ, write text, wait debounce 5s</t>
        </is>
      </c>
      <c r="E13" s="161" t="inlineStr">
        <is>
          <t>PUT draft endpoint called</t>
        </is>
      </c>
      <c r="F13" s="157" t="inlineStr">
        <is>
          <t>Passed</t>
        </is>
      </c>
      <c r="G13" s="156" t="n">
        <v>46127</v>
      </c>
      <c r="H13" s="157" t="inlineStr">
        <is>
          <t>Nguyễn Trần Tấn Phát</t>
        </is>
      </c>
      <c r="I13" s="157" t="inlineStr">
        <is>
          <t>Passed</t>
        </is>
      </c>
      <c r="J13" s="156" t="n">
        <v>46134</v>
      </c>
      <c r="K13" s="157" t="inlineStr">
        <is>
          <t>Nguyễn Minh Khôi</t>
        </is>
      </c>
      <c r="L13" s="157" t="inlineStr">
        <is>
          <t>Passed</t>
        </is>
      </c>
      <c r="M13" s="156" t="n">
        <v>46141</v>
      </c>
      <c r="N13" s="157" t="inlineStr">
        <is>
          <t>Hoàng Văn Anh Nghĩa</t>
        </is>
      </c>
      <c r="O13" s="157" t="n"/>
    </row>
    <row r="14" ht="54" customHeight="1" s="171">
      <c r="A14" s="157" t="inlineStr">
        <is>
          <t>EXAM-DRAFT-004</t>
        </is>
      </c>
      <c r="B14" s="157" t="inlineStr">
        <is>
          <t>Resume active draft skips device check</t>
        </is>
      </c>
      <c r="C14" s="157" t="inlineStr">
        <is>
          <t>Active session with draft</t>
        </is>
      </c>
      <c r="D14" s="161" t="inlineStr">
        <is>
          <t>Reopen exam room URL</t>
        </is>
      </c>
      <c r="E14" s="161" t="inlineStr">
        <is>
          <t>Active phase opens directly with restored skill/answers</t>
        </is>
      </c>
      <c r="F14" s="157" t="inlineStr">
        <is>
          <t>Passed</t>
        </is>
      </c>
      <c r="G14" s="156" t="n">
        <v>46127</v>
      </c>
      <c r="H14" s="157" t="inlineStr">
        <is>
          <t>Nguyễn Minh Khôi</t>
        </is>
      </c>
      <c r="I14" s="157" t="inlineStr">
        <is>
          <t>Passed</t>
        </is>
      </c>
      <c r="J14" s="156" t="n">
        <v>46134</v>
      </c>
      <c r="K14" s="157" t="inlineStr">
        <is>
          <t>Hoàng Văn Anh Nghĩa</t>
        </is>
      </c>
      <c r="L14" s="157" t="inlineStr">
        <is>
          <t>Passed</t>
        </is>
      </c>
      <c r="M14" s="156" t="n">
        <v>46141</v>
      </c>
      <c r="N14" s="157" t="inlineStr">
        <is>
          <t>Nguyễn Nhật Phát</t>
        </is>
      </c>
      <c r="O14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Exam Room Panels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L/R/W/S panels, device check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Exam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EXAM-PANEL-001</t>
        </is>
      </c>
      <c r="B12" s="168" t="inlineStr">
        <is>
          <t>Listening readiness modal</t>
        </is>
      </c>
      <c r="C12" s="168" t="inlineStr">
        <is>
          <t>Listening active</t>
        </is>
      </c>
      <c r="D12" s="161" t="inlineStr">
        <is>
          <t>Click audio</t>
        </is>
      </c>
      <c r="E12" s="162" t="inlineStr">
        <is>
          <t>Modal shown, confirm → audio plays</t>
        </is>
      </c>
      <c r="F12" s="157" t="inlineStr">
        <is>
          <t>Passed</t>
        </is>
      </c>
      <c r="G12" s="156" t="n">
        <v>46127</v>
      </c>
      <c r="H12" s="157" t="inlineStr">
        <is>
          <t>Nguyễn Trần Tấn Phát</t>
        </is>
      </c>
      <c r="I12" s="157" t="inlineStr">
        <is>
          <t>Passed</t>
        </is>
      </c>
      <c r="J12" s="156" t="n">
        <v>46134</v>
      </c>
      <c r="K12" s="157" t="inlineStr">
        <is>
          <t>Nguyễn Minh Khôi</t>
        </is>
      </c>
      <c r="L12" s="157" t="inlineStr">
        <is>
          <t>Passed</t>
        </is>
      </c>
      <c r="M12" s="156" t="n">
        <v>46141</v>
      </c>
      <c r="N12" s="157" t="inlineStr">
        <is>
          <t>Hoàng Văn Anh Nghĩa</t>
        </is>
      </c>
      <c r="O12" s="157" t="n"/>
    </row>
    <row r="13" ht="54" customHeight="1" s="171">
      <c r="A13" s="157" t="inlineStr">
        <is>
          <t>EXAM-PANEL-004</t>
        </is>
      </c>
      <c r="B13" s="157" t="inlineStr">
        <is>
          <t>Reading passage/question split layout</t>
        </is>
      </c>
      <c r="C13" s="157" t="inlineStr">
        <is>
          <t>Reading passage + items</t>
        </is>
      </c>
      <c r="D13" s="161" t="inlineStr">
        <is>
          <t>Open reading panel</t>
        </is>
      </c>
      <c r="E13" s="161" t="inlineStr">
        <is>
          <t>Passage on one side, questions on other, navigation works</t>
        </is>
      </c>
      <c r="F13" s="157" t="inlineStr">
        <is>
          <t>Passed</t>
        </is>
      </c>
      <c r="G13" s="156" t="n">
        <v>46127</v>
      </c>
      <c r="H13" s="157" t="inlineStr">
        <is>
          <t>Nguyễn Minh Khôi</t>
        </is>
      </c>
      <c r="I13" s="157" t="inlineStr">
        <is>
          <t>Passed</t>
        </is>
      </c>
      <c r="J13" s="156" t="n">
        <v>46134</v>
      </c>
      <c r="K13" s="157" t="inlineStr">
        <is>
          <t>Hoàng Văn Anh Nghĩa</t>
        </is>
      </c>
      <c r="L13" s="157" t="inlineStr">
        <is>
          <t>Passed</t>
        </is>
      </c>
      <c r="M13" s="156" t="n">
        <v>46141</v>
      </c>
      <c r="N13" s="157" t="inlineStr">
        <is>
          <t>Nguyễn Nhật Phát</t>
        </is>
      </c>
      <c r="O13" s="157" t="n"/>
    </row>
    <row r="14" ht="54" customHeight="1" s="171">
      <c r="A14" s="157" t="inlineStr">
        <is>
          <t>EXAM-PANEL-006</t>
        </is>
      </c>
      <c r="B14" s="157" t="inlineStr">
        <is>
          <t>Writing editor with word count</t>
        </is>
      </c>
      <c r="C14" s="157" t="inlineStr">
        <is>
          <t>Writing tasks exist</t>
        </is>
      </c>
      <c r="D14" s="161" t="inlineStr">
        <is>
          <t>Type text</t>
        </is>
      </c>
      <c r="E14" s="161" t="inlineStr">
        <is>
          <t>Word count, min_word progress, task tabs</t>
        </is>
      </c>
      <c r="F14" s="157" t="inlineStr">
        <is>
          <t>Passed</t>
        </is>
      </c>
      <c r="G14" s="156" t="n">
        <v>46127</v>
      </c>
      <c r="H14" s="157" t="inlineStr">
        <is>
          <t>Hoàng Văn Anh Nghĩa</t>
        </is>
      </c>
      <c r="I14" s="157" t="inlineStr">
        <is>
          <t>Passed</t>
        </is>
      </c>
      <c r="J14" s="156" t="n">
        <v>46134</v>
      </c>
      <c r="K14" s="157" t="inlineStr">
        <is>
          <t>Nguyễn Nhật Phát</t>
        </is>
      </c>
      <c r="L14" s="157" t="inlineStr">
        <is>
          <t>Passed</t>
        </is>
      </c>
      <c r="M14" s="156" t="n">
        <v>46141</v>
      </c>
      <c r="N14" s="157" t="inlineStr">
        <is>
          <t>Nguyễn Trần Tấn Phát</t>
        </is>
      </c>
      <c r="O14" s="157" t="n"/>
    </row>
    <row r="15" ht="54" customHeight="1" s="171">
      <c r="A15" s="157" t="inlineStr">
        <is>
          <t>EXAM-PANEL-008</t>
        </is>
      </c>
      <c r="B15" s="157" t="inlineStr">
        <is>
          <t>Speaking panel with recording</t>
        </is>
      </c>
      <c r="C15" s="157" t="inlineStr">
        <is>
          <t>Microphone permission granted</t>
        </is>
      </c>
      <c r="D15" s="161" t="inlineStr">
        <is>
          <t>Record part, stop, playback, confirm</t>
        </is>
      </c>
      <c r="E15" s="161" t="inlineStr">
        <is>
          <t>Recording states, waveform, playback, done marks</t>
        </is>
      </c>
      <c r="F15" s="157" t="inlineStr">
        <is>
          <t>Passed</t>
        </is>
      </c>
      <c r="G15" s="156" t="n">
        <v>46127</v>
      </c>
      <c r="H15" s="157" t="inlineStr">
        <is>
          <t>Nguyễn Nhật Phát</t>
        </is>
      </c>
      <c r="I15" s="157" t="inlineStr">
        <is>
          <t>Passed</t>
        </is>
      </c>
      <c r="J15" s="156" t="n">
        <v>46134</v>
      </c>
      <c r="K15" s="157" t="inlineStr">
        <is>
          <t>Nguyễn Trần Tấn Phát</t>
        </is>
      </c>
      <c r="L15" s="157" t="inlineStr">
        <is>
          <t>Passed</t>
        </is>
      </c>
      <c r="M15" s="156" t="n">
        <v>46141</v>
      </c>
      <c r="N15" s="157" t="inlineStr">
        <is>
          <t>Nguyễn Minh Khôi</t>
        </is>
      </c>
      <c r="O15" s="157" t="n"/>
    </row>
    <row r="16" ht="54" customHeight="1" s="171">
      <c r="A16" s="157" t="inlineStr">
        <is>
          <t>EXAM-PANEL-009</t>
        </is>
      </c>
      <c r="B16" s="157" t="inlineStr">
        <is>
          <t>Speaking microphone denied</t>
        </is>
      </c>
      <c r="C16" s="157" t="inlineStr">
        <is>
          <t>Microphone blocked</t>
        </is>
      </c>
      <c r="D16" s="161" t="inlineStr">
        <is>
          <t>Attempt recording</t>
        </is>
      </c>
      <c r="E16" s="161" t="inlineStr">
        <is>
          <t>Error message shown, recording cannot proceed</t>
        </is>
      </c>
      <c r="F16" s="157" t="inlineStr">
        <is>
          <t>Passed</t>
        </is>
      </c>
      <c r="G16" s="156" t="n">
        <v>46127</v>
      </c>
      <c r="H16" s="157" t="inlineStr">
        <is>
          <t>Nguyễn Trần Tấn Phát</t>
        </is>
      </c>
      <c r="I16" s="157" t="inlineStr">
        <is>
          <t>Passed</t>
        </is>
      </c>
      <c r="J16" s="156" t="n">
        <v>46134</v>
      </c>
      <c r="K16" s="157" t="inlineStr">
        <is>
          <t>Nguyễn Minh Khôi</t>
        </is>
      </c>
      <c r="L16" s="157" t="inlineStr">
        <is>
          <t>Passed</t>
        </is>
      </c>
      <c r="M16" s="156" t="n">
        <v>46141</v>
      </c>
      <c r="N16" s="157" t="inlineStr">
        <is>
          <t>Hoàng Văn Anh Nghĩa</t>
        </is>
      </c>
      <c r="O16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Transition &amp; Submit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Next skill, confirm, submit, auto-submit, scoring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Exam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EXAM-TRANS-001</t>
        </is>
      </c>
      <c r="B12" s="168" t="inlineStr">
        <is>
          <t>Next skill confirm dialog</t>
        </is>
      </c>
      <c r="C12" s="168" t="inlineStr">
        <is>
          <t>Current skill has answers</t>
        </is>
      </c>
      <c r="D12" s="161" t="inlineStr">
        <is>
          <t>Click next</t>
        </is>
      </c>
      <c r="E12" s="162" t="inlineStr">
        <is>
          <t>Confirm dialog with warning counts (unanswered, under-minimum, incomplete parts)</t>
        </is>
      </c>
      <c r="F12" s="157" t="inlineStr">
        <is>
          <t>Passed</t>
        </is>
      </c>
      <c r="G12" s="156" t="n">
        <v>46127</v>
      </c>
      <c r="H12" s="157" t="inlineStr">
        <is>
          <t>Nguyễn Minh Khôi</t>
        </is>
      </c>
      <c r="I12" s="157" t="inlineStr">
        <is>
          <t>Passed</t>
        </is>
      </c>
      <c r="J12" s="156" t="n">
        <v>46134</v>
      </c>
      <c r="K12" s="157" t="inlineStr">
        <is>
          <t>Hoàng Văn Anh Nghĩa</t>
        </is>
      </c>
      <c r="L12" s="157" t="inlineStr">
        <is>
          <t>Passed</t>
        </is>
      </c>
      <c r="M12" s="156" t="n">
        <v>46141</v>
      </c>
      <c r="N12" s="157" t="inlineStr">
        <is>
          <t>Nguyễn Nhật Phát</t>
        </is>
      </c>
      <c r="O12" s="157" t="n"/>
    </row>
    <row r="13" ht="54" customHeight="1" s="171">
      <c r="A13" s="157" t="inlineStr">
        <is>
          <t>EXAM-TRANS-002</t>
        </is>
      </c>
      <c r="B13" s="157" t="inlineStr">
        <is>
          <t>Next skill locks previous skill</t>
        </is>
      </c>
      <c r="C13" s="157" t="inlineStr">
        <is>
          <t>Confirm next</t>
        </is>
      </c>
      <c r="D13" s="161" t="inlineStr">
        <is>
          <t>Transition to next skill</t>
        </is>
      </c>
      <c r="E13" s="161" t="inlineStr">
        <is>
          <t>Previous skill inaccessible</t>
        </is>
      </c>
      <c r="F13" s="157" t="inlineStr">
        <is>
          <t>Passed</t>
        </is>
      </c>
      <c r="G13" s="156" t="n">
        <v>46127</v>
      </c>
      <c r="H13" s="157" t="inlineStr">
        <is>
          <t>Hoàng Văn Anh Nghĩa</t>
        </is>
      </c>
      <c r="I13" s="157" t="inlineStr">
        <is>
          <t>Passed</t>
        </is>
      </c>
      <c r="J13" s="156" t="n">
        <v>46134</v>
      </c>
      <c r="K13" s="157" t="inlineStr">
        <is>
          <t>Nguyễn Nhật Phát</t>
        </is>
      </c>
      <c r="L13" s="157" t="inlineStr">
        <is>
          <t>Passed</t>
        </is>
      </c>
      <c r="M13" s="156" t="n">
        <v>46141</v>
      </c>
      <c r="N13" s="157" t="inlineStr">
        <is>
          <t>Nguyễn Trần Tấn Phát</t>
        </is>
      </c>
      <c r="O13" s="157" t="n"/>
    </row>
    <row r="14" ht="54" customHeight="1" s="171">
      <c r="A14" s="157" t="inlineStr">
        <is>
          <t>EXAM-SUBMIT-001</t>
        </is>
      </c>
      <c r="B14" s="157" t="inlineStr">
        <is>
          <t>Manual submit posts answers and invalidates caches</t>
        </is>
      </c>
      <c r="C14" s="157" t="inlineStr">
        <is>
          <t>All selected skills completed</t>
        </is>
      </c>
      <c r="D14" s="161" t="inlineStr">
        <is>
          <t>Click submit, confirm</t>
        </is>
      </c>
      <c r="E14" s="161" t="inlineStr">
        <is>
          <t>POST submit called; exam, session, streak, overview, course, booking caches invalidated; result screen shown</t>
        </is>
      </c>
      <c r="F14" s="157" t="inlineStr">
        <is>
          <t>Passed</t>
        </is>
      </c>
      <c r="G14" s="156" t="n">
        <v>46127</v>
      </c>
      <c r="H14" s="157" t="inlineStr">
        <is>
          <t>Nguyễn Nhật Phát</t>
        </is>
      </c>
      <c r="I14" s="157" t="inlineStr">
        <is>
          <t>Passed</t>
        </is>
      </c>
      <c r="J14" s="156" t="n">
        <v>46134</v>
      </c>
      <c r="K14" s="157" t="inlineStr">
        <is>
          <t>Nguyễn Trần Tấn Phát</t>
        </is>
      </c>
      <c r="L14" s="157" t="inlineStr">
        <is>
          <t>Passed</t>
        </is>
      </c>
      <c r="M14" s="156" t="n">
        <v>46141</v>
      </c>
      <c r="N14" s="157" t="inlineStr">
        <is>
          <t>Nguyễn Minh Khôi</t>
        </is>
      </c>
      <c r="O14" s="157" t="n"/>
    </row>
    <row r="15" ht="54" customHeight="1" s="171">
      <c r="A15" s="157" t="inlineStr">
        <is>
          <t>EXAM-SUBMIT-002</t>
        </is>
      </c>
      <c r="B15" s="157" t="inlineStr">
        <is>
          <t>Auto-submit after timer expires</t>
        </is>
      </c>
      <c r="C15" s="157" t="inlineStr">
        <is>
          <t>Timer reaches 0</t>
        </is>
      </c>
      <c r="D15" s="161" t="inlineStr">
        <is>
          <t>Wait for expiry</t>
        </is>
      </c>
      <c r="E15" s="161" t="inlineStr">
        <is>
          <t>Expired overlay appears, submit triggered automatically</t>
        </is>
      </c>
      <c r="F15" s="157" t="inlineStr">
        <is>
          <t>Passed</t>
        </is>
      </c>
      <c r="G15" s="156" t="n">
        <v>46127</v>
      </c>
      <c r="H15" s="157" t="inlineStr">
        <is>
          <t>Nguyễn Trần Tấn Phát</t>
        </is>
      </c>
      <c r="I15" s="157" t="inlineStr">
        <is>
          <t>Passed</t>
        </is>
      </c>
      <c r="J15" s="156" t="n">
        <v>46134</v>
      </c>
      <c r="K15" s="157" t="inlineStr">
        <is>
          <t>Nguyễn Minh Khôi</t>
        </is>
      </c>
      <c r="L15" s="157" t="inlineStr">
        <is>
          <t>Passed</t>
        </is>
      </c>
      <c r="M15" s="156" t="n">
        <v>46141</v>
      </c>
      <c r="N15" s="157" t="inlineStr">
        <is>
          <t>Hoàng Văn Anh Nghĩa</t>
        </is>
      </c>
      <c r="O15" s="157" t="n"/>
    </row>
    <row r="16" ht="54" customHeight="1" s="171">
      <c r="A16" s="157" t="inlineStr">
        <is>
          <t>EXAM-SUBMIT-003</t>
        </is>
      </c>
      <c r="B16" s="157" t="inlineStr">
        <is>
          <t>Submit with correct MCQ scoring</t>
        </is>
      </c>
      <c r="C16" s="157" t="inlineStr">
        <is>
          <t>MCQ answers mixed correct/wrong</t>
        </is>
      </c>
      <c r="D16" s="161" t="inlineStr">
        <is>
          <t>Submit</t>
        </is>
      </c>
      <c r="E16" s="161" t="inlineStr">
        <is>
          <t>Score calculated, correct/incorrect per item</t>
        </is>
      </c>
      <c r="F16" s="157" t="inlineStr">
        <is>
          <t>Passed</t>
        </is>
      </c>
      <c r="G16" s="156" t="n">
        <v>46127</v>
      </c>
      <c r="H16" s="157" t="inlineStr">
        <is>
          <t>Nguyễn Minh Khôi</t>
        </is>
      </c>
      <c r="I16" s="157" t="inlineStr">
        <is>
          <t>Passed</t>
        </is>
      </c>
      <c r="J16" s="156" t="n">
        <v>46134</v>
      </c>
      <c r="K16" s="157" t="inlineStr">
        <is>
          <t>Hoàng Văn Anh Nghĩa</t>
        </is>
      </c>
      <c r="L16" s="157" t="inlineStr">
        <is>
          <t>Passed</t>
        </is>
      </c>
      <c r="M16" s="156" t="n">
        <v>46141</v>
      </c>
      <c r="N16" s="157" t="inlineStr">
        <is>
          <t>Nguyễn Nhật Phát</t>
        </is>
      </c>
      <c r="O16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Exam Result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Result summary, feedback, polling, detail page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Exam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EXAM-RESULT-001</t>
        </is>
      </c>
      <c r="B12" s="168" t="inlineStr">
        <is>
          <t>Submit result summary displays MCQ score</t>
        </is>
      </c>
      <c r="C12" s="168" t="inlineStr">
        <is>
          <t>Session submitted</t>
        </is>
      </c>
      <c r="D12" s="161" t="inlineStr">
        <is>
          <t>Open result page</t>
        </is>
      </c>
      <c r="E12" s="162" t="inlineStr">
        <is>
          <t>Score circle, skill rows, pending AI badges for Writing/Speaking</t>
        </is>
      </c>
      <c r="F12" s="157" t="inlineStr">
        <is>
          <t>Passed</t>
        </is>
      </c>
      <c r="G12" s="156" t="n">
        <v>46127</v>
      </c>
      <c r="H12" s="157" t="inlineStr">
        <is>
          <t>Hoàng Văn Anh Nghĩa</t>
        </is>
      </c>
      <c r="I12" s="157" t="inlineStr">
        <is>
          <t>Passed</t>
        </is>
      </c>
      <c r="J12" s="156" t="n">
        <v>46134</v>
      </c>
      <c r="K12" s="157" t="inlineStr">
        <is>
          <t>Nguyễn Nhật Phát</t>
        </is>
      </c>
      <c r="L12" s="157" t="inlineStr">
        <is>
          <t>Passed</t>
        </is>
      </c>
      <c r="M12" s="156" t="n">
        <v>46141</v>
      </c>
      <c r="N12" s="157" t="inlineStr">
        <is>
          <t>Nguyễn Trần Tấn Phát</t>
        </is>
      </c>
      <c r="O12" s="157" t="n"/>
    </row>
    <row r="13" ht="54" customHeight="1" s="171">
      <c r="A13" s="157" t="inlineStr">
        <is>
          <t>EXAM-RESULT-002</t>
        </is>
      </c>
      <c r="B13" s="157" t="inlineStr">
        <is>
          <t>Writing feedback displays after grading</t>
        </is>
      </c>
      <c r="C13" s="157" t="inlineStr">
        <is>
          <t>Writing graded</t>
        </is>
      </c>
      <c r="D13" s="161" t="inlineStr">
        <is>
          <t>Refresh result page</t>
        </is>
      </c>
      <c r="E13" s="161" t="inlineStr">
        <is>
          <t>Overall band, rubric dimensions, strengths, improvements, rewrites</t>
        </is>
      </c>
      <c r="F13" s="157" t="inlineStr">
        <is>
          <t>Passed</t>
        </is>
      </c>
      <c r="G13" s="156" t="n">
        <v>46127</v>
      </c>
      <c r="H13" s="157" t="inlineStr">
        <is>
          <t>Nguyễn Nhật Phát</t>
        </is>
      </c>
      <c r="I13" s="157" t="inlineStr">
        <is>
          <t>Passed</t>
        </is>
      </c>
      <c r="J13" s="156" t="n">
        <v>46134</v>
      </c>
      <c r="K13" s="157" t="inlineStr">
        <is>
          <t>Nguyễn Trần Tấn Phát</t>
        </is>
      </c>
      <c r="L13" s="157" t="inlineStr">
        <is>
          <t>Passed</t>
        </is>
      </c>
      <c r="M13" s="156" t="n">
        <v>46141</v>
      </c>
      <c r="N13" s="157" t="inlineStr">
        <is>
          <t>Nguyễn Minh Khôi</t>
        </is>
      </c>
      <c r="O13" s="157" t="n"/>
    </row>
    <row r="14" ht="54" customHeight="1" s="171">
      <c r="A14" s="157" t="inlineStr">
        <is>
          <t>EXAM-RESULT-004</t>
        </is>
      </c>
      <c r="B14" s="157" t="inlineStr">
        <is>
          <t>Result polling while AI grading pending</t>
        </is>
      </c>
      <c r="C14" s="157" t="inlineStr">
        <is>
          <t>Writing/Speaking feedback overall_band is null</t>
        </is>
      </c>
      <c r="D14" s="161" t="inlineStr">
        <is>
          <t>Open result page</t>
        </is>
      </c>
      <c r="E14" s="161" t="inlineStr">
        <is>
          <t>Query polls every 5 seconds until all feedback has band</t>
        </is>
      </c>
      <c r="F14" s="157" t="inlineStr">
        <is>
          <t>Passed</t>
        </is>
      </c>
      <c r="G14" s="156" t="n">
        <v>46127</v>
      </c>
      <c r="H14" s="157" t="inlineStr">
        <is>
          <t>Nguyễn Trần Tấn Phát</t>
        </is>
      </c>
      <c r="I14" s="157" t="inlineStr">
        <is>
          <t>Passed</t>
        </is>
      </c>
      <c r="J14" s="156" t="n">
        <v>46134</v>
      </c>
      <c r="K14" s="157" t="inlineStr">
        <is>
          <t>Nguyễn Minh Khôi</t>
        </is>
      </c>
      <c r="L14" s="157" t="inlineStr">
        <is>
          <t>Passed</t>
        </is>
      </c>
      <c r="M14" s="156" t="n">
        <v>46141</v>
      </c>
      <c r="N14" s="157" t="inlineStr">
        <is>
          <t>Hoàng Văn Anh Nghĩa</t>
        </is>
      </c>
      <c r="O14" s="157" t="n"/>
    </row>
    <row r="15" ht="54" customHeight="1" s="171">
      <c r="A15" s="157" t="inlineStr">
        <is>
          <t>EXAM-RESULT-005</t>
        </is>
      </c>
      <c r="B15" s="157" t="inlineStr">
        <is>
          <t>Result detail page shows MCQ answer grid</t>
        </is>
      </c>
      <c r="C15" s="157" t="inlineStr">
        <is>
          <t>Session submitted</t>
        </is>
      </c>
      <c r="D15" s="161" t="inlineStr">
        <is>
          <t>Click detail link</t>
        </is>
      </c>
      <c r="E15" s="161" t="inlineStr">
        <is>
          <t>Selected vs correct answers displayed, per-question accuracy</t>
        </is>
      </c>
      <c r="F15" s="157" t="inlineStr">
        <is>
          <t>Passed</t>
        </is>
      </c>
      <c r="G15" s="156" t="n">
        <v>46127</v>
      </c>
      <c r="H15" s="157" t="inlineStr">
        <is>
          <t>Nguyễn Minh Khôi</t>
        </is>
      </c>
      <c r="I15" s="157" t="inlineStr">
        <is>
          <t>Passed</t>
        </is>
      </c>
      <c r="J15" s="156" t="n">
        <v>46134</v>
      </c>
      <c r="K15" s="157" t="inlineStr">
        <is>
          <t>Hoàng Văn Anh Nghĩa</t>
        </is>
      </c>
      <c r="L15" s="157" t="inlineStr">
        <is>
          <t>Passed</t>
        </is>
      </c>
      <c r="M15" s="156" t="n">
        <v>46141</v>
      </c>
      <c r="N15" s="157" t="inlineStr">
        <is>
          <t>Nguyễn Nhật Phát</t>
        </is>
      </c>
      <c r="O15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Wallet Balance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Balance endpoint, header display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Wallet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WALL-BAL-001</t>
        </is>
      </c>
      <c r="B12" s="168" t="inlineStr">
        <is>
          <t>Get wallet balance</t>
        </is>
      </c>
      <c r="C12" s="168" t="inlineStr">
        <is>
          <t>Authenticated learner with active profile</t>
        </is>
      </c>
      <c r="D12" s="161" t="inlineStr">
        <is>
          <t>GET `wallet/balance`</t>
        </is>
      </c>
      <c r="E12" s="162" t="inlineStr">
        <is>
          <t>200, balance returned (new learner: 100 coin)</t>
        </is>
      </c>
      <c r="F12" s="157" t="inlineStr">
        <is>
          <t>Passed</t>
        </is>
      </c>
      <c r="G12" s="156" t="n">
        <v>46127</v>
      </c>
      <c r="H12" s="157" t="inlineStr">
        <is>
          <t>Nguyễn Nhật Phát</t>
        </is>
      </c>
      <c r="I12" s="157" t="inlineStr">
        <is>
          <t>Passed</t>
        </is>
      </c>
      <c r="J12" s="156" t="n">
        <v>46134</v>
      </c>
      <c r="K12" s="157" t="inlineStr">
        <is>
          <t>Nguyễn Trần Tấn Phát</t>
        </is>
      </c>
      <c r="L12" s="157" t="inlineStr">
        <is>
          <t>Passed</t>
        </is>
      </c>
      <c r="M12" s="156" t="n">
        <v>46141</v>
      </c>
      <c r="N12" s="157" t="inlineStr">
        <is>
          <t>Nguyễn Minh Khôi</t>
        </is>
      </c>
      <c r="O12" s="157" t="n"/>
    </row>
    <row r="13" ht="54" customHeight="1" s="171">
      <c r="A13" s="157" t="inlineStr">
        <is>
          <t>WALL-BAL-003</t>
        </is>
      </c>
      <c r="B13" s="157" t="inlineStr">
        <is>
          <t>Frontend header displays wallet balance</t>
        </is>
      </c>
      <c r="C13" s="157" t="inlineStr">
        <is>
          <t>Authenticated, balance &gt; 0</t>
        </is>
      </c>
      <c r="D13" s="161" t="inlineStr">
        <is>
          <t>Open dashboard or any _app route</t>
        </is>
      </c>
      <c r="E13" s="161" t="inlineStr">
        <is>
          <t>Coin pill in header shows formatted balance</t>
        </is>
      </c>
      <c r="F13" s="157" t="inlineStr">
        <is>
          <t>Passed</t>
        </is>
      </c>
      <c r="G13" s="156" t="n">
        <v>46127</v>
      </c>
      <c r="H13" s="157" t="inlineStr">
        <is>
          <t>Nguyễn Trần Tấn Phát</t>
        </is>
      </c>
      <c r="I13" s="157" t="inlineStr">
        <is>
          <t>Passed</t>
        </is>
      </c>
      <c r="J13" s="156" t="n">
        <v>46134</v>
      </c>
      <c r="K13" s="157" t="inlineStr">
        <is>
          <t>Nguyễn Minh Khôi</t>
        </is>
      </c>
      <c r="L13" s="157" t="inlineStr">
        <is>
          <t>Passed</t>
        </is>
      </c>
      <c r="M13" s="156" t="n">
        <v>46141</v>
      </c>
      <c r="N13" s="157" t="inlineStr">
        <is>
          <t>Hoàng Văn Anh Nghĩa</t>
        </is>
      </c>
      <c r="O13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Top-up &amp; Payment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Package list, order, confirm, redirect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Wallet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WALL-TOP-001</t>
        </is>
      </c>
      <c r="B12" s="168" t="inlineStr">
        <is>
          <t>List active top-up packages only</t>
        </is>
      </c>
      <c r="C12" s="168" t="inlineStr">
        <is>
          <t>Active and inactive packages exist</t>
        </is>
      </c>
      <c r="D12" s="161" t="inlineStr">
        <is>
          <t>GET `wallet/topup-packages`</t>
        </is>
      </c>
      <c r="E12" s="162" t="inlineStr">
        <is>
          <t>200, only active packages, sorted by display_order</t>
        </is>
      </c>
      <c r="F12" s="157" t="inlineStr">
        <is>
          <t>Passed</t>
        </is>
      </c>
      <c r="G12" s="156" t="n">
        <v>46127</v>
      </c>
      <c r="H12" s="157" t="inlineStr">
        <is>
          <t>Nguyễn Trần Tấn Phát</t>
        </is>
      </c>
      <c r="I12" s="157" t="inlineStr">
        <is>
          <t>Passed</t>
        </is>
      </c>
      <c r="J12" s="156" t="n">
        <v>46134</v>
      </c>
      <c r="K12" s="157" t="inlineStr">
        <is>
          <t>Nguyễn Minh Khôi</t>
        </is>
      </c>
      <c r="L12" s="157" t="inlineStr">
        <is>
          <t>Passed</t>
        </is>
      </c>
      <c r="M12" s="156" t="n">
        <v>46141</v>
      </c>
      <c r="N12" s="157" t="inlineStr">
        <is>
          <t>Hoàng Văn Anh Nghĩa</t>
        </is>
      </c>
      <c r="O12" s="157" t="n"/>
    </row>
    <row r="13" ht="54" customHeight="1" s="171">
      <c r="A13" s="157" t="inlineStr">
        <is>
          <t>WALL-TOP-002</t>
        </is>
      </c>
      <c r="B13" s="157" t="inlineStr">
        <is>
          <t>Frontend top-up dialog loads packages</t>
        </is>
      </c>
      <c r="C13" s="157" t="inlineStr">
        <is>
          <t>Authenticated, packages exist</t>
        </is>
      </c>
      <c r="D13" s="161" t="inlineStr">
        <is>
          <t>Click coin pill in header</t>
        </is>
      </c>
      <c r="E13" s="161" t="inlineStr">
        <is>
          <t>TopUpDialog opens, package list displayed with price/coin/bonus info</t>
        </is>
      </c>
      <c r="F13" s="157" t="inlineStr">
        <is>
          <t>Passed</t>
        </is>
      </c>
      <c r="G13" s="156" t="n">
        <v>46127</v>
      </c>
      <c r="H13" s="157" t="inlineStr">
        <is>
          <t>Nguyễn Minh Khôi</t>
        </is>
      </c>
      <c r="I13" s="157" t="inlineStr">
        <is>
          <t>Passed</t>
        </is>
      </c>
      <c r="J13" s="156" t="n">
        <v>46134</v>
      </c>
      <c r="K13" s="157" t="inlineStr">
        <is>
          <t>Hoàng Văn Anh Nghĩa</t>
        </is>
      </c>
      <c r="L13" s="157" t="inlineStr">
        <is>
          <t>Passed</t>
        </is>
      </c>
      <c r="M13" s="156" t="n">
        <v>46141</v>
      </c>
      <c r="N13" s="157" t="inlineStr">
        <is>
          <t>Nguyễn Nhật Phát</t>
        </is>
      </c>
      <c r="O13" s="157" t="n"/>
    </row>
    <row r="14" ht="54" customHeight="1" s="171">
      <c r="A14" s="157" t="inlineStr">
        <is>
          <t>WALL-PAY-001</t>
        </is>
      </c>
      <c r="B14" s="157" t="inlineStr">
        <is>
          <t>Create top-up order</t>
        </is>
      </c>
      <c r="C14" s="157" t="inlineStr">
        <is>
          <t>Package exists, authenticated</t>
        </is>
      </c>
      <c r="D14" s="161" t="inlineStr">
        <is>
          <t>POST `wallet/topup` with package_id, provider=payos</t>
        </is>
      </c>
      <c r="E14" s="161" t="inlineStr">
        <is>
          <t>201, order with status=pending, order_code, amount_vnd, coins_to_credit</t>
        </is>
      </c>
      <c r="F14" s="157" t="inlineStr">
        <is>
          <t>Passed</t>
        </is>
      </c>
      <c r="G14" s="156" t="n">
        <v>46127</v>
      </c>
      <c r="H14" s="157" t="inlineStr">
        <is>
          <t>Hoàng Văn Anh Nghĩa</t>
        </is>
      </c>
      <c r="I14" s="157" t="inlineStr">
        <is>
          <t>Passed</t>
        </is>
      </c>
      <c r="J14" s="156" t="n">
        <v>46134</v>
      </c>
      <c r="K14" s="157" t="inlineStr">
        <is>
          <t>Nguyễn Nhật Phát</t>
        </is>
      </c>
      <c r="L14" s="157" t="inlineStr">
        <is>
          <t>Passed</t>
        </is>
      </c>
      <c r="M14" s="156" t="n">
        <v>46141</v>
      </c>
      <c r="N14" s="157" t="inlineStr">
        <is>
          <t>Nguyễn Trần Tấn Phát</t>
        </is>
      </c>
      <c r="O14" s="157" t="n"/>
    </row>
    <row r="15" ht="54" customHeight="1" s="171">
      <c r="A15" s="157" t="inlineStr">
        <is>
          <t>WALL-PAY-002</t>
        </is>
      </c>
      <c r="B15" s="157" t="inlineStr">
        <is>
          <t>Confirm top-up credits coins</t>
        </is>
      </c>
      <c r="C15" s="157" t="inlineStr">
        <is>
          <t>Pending order, payment callback or manual confirm</t>
        </is>
      </c>
      <c r="D15" s="161" t="inlineStr">
        <is>
          <t>Simulate payment callback or TopupService.confirmByOrderCode</t>
        </is>
      </c>
      <c r="E15" s="161" t="inlineStr">
        <is>
          <t>Order status → paid, coins credited to wallet, transaction created</t>
        </is>
      </c>
      <c r="F15" s="157" t="inlineStr">
        <is>
          <t>Passed</t>
        </is>
      </c>
      <c r="G15" s="156" t="n">
        <v>46127</v>
      </c>
      <c r="H15" s="157" t="inlineStr">
        <is>
          <t>Nguyễn Nhật Phát</t>
        </is>
      </c>
      <c r="I15" s="157" t="inlineStr">
        <is>
          <t>Passed</t>
        </is>
      </c>
      <c r="J15" s="156" t="n">
        <v>46134</v>
      </c>
      <c r="K15" s="157" t="inlineStr">
        <is>
          <t>Nguyễn Trần Tấn Phát</t>
        </is>
      </c>
      <c r="L15" s="157" t="inlineStr">
        <is>
          <t>Passed</t>
        </is>
      </c>
      <c r="M15" s="156" t="n">
        <v>46141</v>
      </c>
      <c r="N15" s="157" t="inlineStr">
        <is>
          <t>Nguyễn Minh Khôi</t>
        </is>
      </c>
      <c r="O15" s="157" t="n"/>
    </row>
    <row r="16" ht="54" customHeight="1" s="171">
      <c r="A16" s="157" t="inlineStr">
        <is>
          <t>WALL-PAY-004</t>
        </is>
      </c>
      <c r="B16" s="157" t="inlineStr">
        <is>
          <t>Frontend redirects to payment URL</t>
        </is>
      </c>
      <c r="C16" s="157" t="inlineStr">
        <is>
          <t>Top-up order created with payment_url</t>
        </is>
      </c>
      <c r="D16" s="161" t="inlineStr">
        <is>
          <t>Click payment action on selected package</t>
        </is>
      </c>
      <c r="E16" s="161" t="inlineStr">
        <is>
          <t>Browser navigates to payment_url</t>
        </is>
      </c>
      <c r="F16" s="157" t="inlineStr">
        <is>
          <t>Passed</t>
        </is>
      </c>
      <c r="G16" s="156" t="n">
        <v>46127</v>
      </c>
      <c r="H16" s="157" t="inlineStr">
        <is>
          <t>Nguyễn Trần Tấn Phát</t>
        </is>
      </c>
      <c r="I16" s="157" t="inlineStr">
        <is>
          <t>Passed</t>
        </is>
      </c>
      <c r="J16" s="156" t="n">
        <v>46134</v>
      </c>
      <c r="K16" s="157" t="inlineStr">
        <is>
          <t>Nguyễn Minh Khôi</t>
        </is>
      </c>
      <c r="L16" s="157" t="inlineStr">
        <is>
          <t>Passed</t>
        </is>
      </c>
      <c r="M16" s="156" t="n">
        <v>46141</v>
      </c>
      <c r="N16" s="157" t="inlineStr">
        <is>
          <t>Hoàng Văn Anh Nghĩa</t>
        </is>
      </c>
      <c r="O16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Promo Redemption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Valid/invalid redeem, frontend, error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Wallet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WALL-PROMO-001</t>
        </is>
      </c>
      <c r="B12" s="168" t="inlineStr">
        <is>
          <t>Redeem valid promo code</t>
        </is>
      </c>
      <c r="C12" s="168" t="inlineStr">
        <is>
          <t>Valid promo code exists, learner has active profile</t>
        </is>
      </c>
      <c r="D12" s="161" t="inlineStr">
        <is>
          <t>POST `wallet/promo-redeem` with code</t>
        </is>
      </c>
      <c r="E12" s="162" t="inlineStr">
        <is>
          <t>200, coins granted, balance updated</t>
        </is>
      </c>
      <c r="F12" s="157" t="inlineStr">
        <is>
          <t>Passed</t>
        </is>
      </c>
      <c r="G12" s="156" t="n">
        <v>46127</v>
      </c>
      <c r="H12" s="157" t="inlineStr">
        <is>
          <t>Nguyễn Minh Khôi</t>
        </is>
      </c>
      <c r="I12" s="157" t="inlineStr">
        <is>
          <t>Passed</t>
        </is>
      </c>
      <c r="J12" s="156" t="n">
        <v>46134</v>
      </c>
      <c r="K12" s="157" t="inlineStr">
        <is>
          <t>Hoàng Văn Anh Nghĩa</t>
        </is>
      </c>
      <c r="L12" s="157" t="inlineStr">
        <is>
          <t>Passed</t>
        </is>
      </c>
      <c r="M12" s="156" t="n">
        <v>46141</v>
      </c>
      <c r="N12" s="157" t="inlineStr">
        <is>
          <t>Nguyễn Nhật Phát</t>
        </is>
      </c>
      <c r="O12" s="157" t="n"/>
    </row>
    <row r="13" ht="54" customHeight="1" s="171">
      <c r="A13" s="157" t="inlineStr">
        <is>
          <t>WALL-PROMO-002</t>
        </is>
      </c>
      <c r="B13" s="157" t="inlineStr">
        <is>
          <t>Redeem invalid promo code</t>
        </is>
      </c>
      <c r="C13" s="157" t="inlineStr">
        <is>
          <t>Code does not exist</t>
        </is>
      </c>
      <c r="D13" s="161" t="inlineStr">
        <is>
          <t>POST promo redeem with invalid code</t>
        </is>
      </c>
      <c r="E13" s="161" t="inlineStr">
        <is>
          <t>422, error message, balance unchanged</t>
        </is>
      </c>
      <c r="F13" s="157" t="inlineStr">
        <is>
          <t>Passed</t>
        </is>
      </c>
      <c r="G13" s="156" t="n">
        <v>46127</v>
      </c>
      <c r="H13" s="157" t="inlineStr">
        <is>
          <t>Hoàng Văn Anh Nghĩa</t>
        </is>
      </c>
      <c r="I13" s="157" t="inlineStr">
        <is>
          <t>Passed</t>
        </is>
      </c>
      <c r="J13" s="156" t="n">
        <v>46134</v>
      </c>
      <c r="K13" s="157" t="inlineStr">
        <is>
          <t>Nguyễn Nhật Phát</t>
        </is>
      </c>
      <c r="L13" s="157" t="inlineStr">
        <is>
          <t>Passed</t>
        </is>
      </c>
      <c r="M13" s="156" t="n">
        <v>46141</v>
      </c>
      <c r="N13" s="157" t="inlineStr">
        <is>
          <t>Nguyễn Trần Tấn Phát</t>
        </is>
      </c>
      <c r="O13" s="157" t="n"/>
    </row>
    <row r="14" ht="54" customHeight="1" s="171">
      <c r="A14" s="157" t="inlineStr">
        <is>
          <t>WALL-PROMO-005</t>
        </is>
      </c>
      <c r="B14" s="157" t="inlineStr">
        <is>
          <t>Frontend promo redeem card on profile</t>
        </is>
      </c>
      <c r="C14" s="157" t="inlineStr">
        <is>
          <t>Authenticated, profile page</t>
        </is>
      </c>
      <c r="D14" s="161" t="inlineStr">
        <is>
          <t>Enter code in PromoRedeemCard, submit</t>
        </is>
      </c>
      <c r="E14" s="161" t="inlineStr">
        <is>
          <t>On success: code cleared, success popup, balance invalidated</t>
        </is>
      </c>
      <c r="F14" s="157" t="inlineStr">
        <is>
          <t>Passed</t>
        </is>
      </c>
      <c r="G14" s="156" t="n">
        <v>46127</v>
      </c>
      <c r="H14" s="157" t="inlineStr">
        <is>
          <t>Nguyễn Nhật Phát</t>
        </is>
      </c>
      <c r="I14" s="157" t="inlineStr">
        <is>
          <t>Passed</t>
        </is>
      </c>
      <c r="J14" s="156" t="n">
        <v>46134</v>
      </c>
      <c r="K14" s="157" t="inlineStr">
        <is>
          <t>Nguyễn Trần Tấn Phát</t>
        </is>
      </c>
      <c r="L14" s="157" t="inlineStr">
        <is>
          <t>Passed</t>
        </is>
      </c>
      <c r="M14" s="156" t="n">
        <v>46141</v>
      </c>
      <c r="N14" s="157" t="inlineStr">
        <is>
          <t>Nguyễn Minh Khôi</t>
        </is>
      </c>
      <c r="O14" s="157" t="n"/>
    </row>
    <row r="15" ht="54" customHeight="1" s="171">
      <c r="A15" s="157" t="inlineStr">
        <is>
          <t>WALL-PROMO-006</t>
        </is>
      </c>
      <c r="B15" s="157" t="inlineStr">
        <is>
          <t>Frontend promo redeem field error</t>
        </is>
      </c>
      <c r="C15" s="157" t="inlineStr">
        <is>
          <t>Invalid code submitted</t>
        </is>
      </c>
      <c r="D15" s="161" t="inlineStr">
        <is>
          <t>Submit code</t>
        </is>
      </c>
      <c r="E15" s="161" t="inlineStr">
        <is>
          <t>Field error displayed, success popup not shown</t>
        </is>
      </c>
      <c r="F15" s="157" t="inlineStr">
        <is>
          <t>Passed</t>
        </is>
      </c>
      <c r="G15" s="156" t="n">
        <v>46127</v>
      </c>
      <c r="H15" s="157" t="inlineStr">
        <is>
          <t>Nguyễn Trần Tấn Phát</t>
        </is>
      </c>
      <c r="I15" s="157" t="inlineStr">
        <is>
          <t>Passed</t>
        </is>
      </c>
      <c r="J15" s="156" t="n">
        <v>46134</v>
      </c>
      <c r="K15" s="157" t="inlineStr">
        <is>
          <t>Nguyễn Minh Khôi</t>
        </is>
      </c>
      <c r="L15" s="157" t="inlineStr">
        <is>
          <t>Passed</t>
        </is>
      </c>
      <c r="M15" s="156" t="n">
        <v>46141</v>
      </c>
      <c r="N15" s="157" t="inlineStr">
        <is>
          <t>Hoàng Văn Anh Nghĩa</t>
        </is>
      </c>
      <c r="O15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Dashboard &amp; Progress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Overview, spider chart, streak, learning path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Progress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DASH-OV-001</t>
        </is>
      </c>
      <c r="B12" s="168" t="inlineStr">
        <is>
          <t>Overview returns profile/skill/streak/progress</t>
        </is>
      </c>
      <c r="C12" s="168" t="inlineStr">
        <is>
          <t>Authenticated learner with data</t>
        </is>
      </c>
      <c r="D12" s="161" t="inlineStr">
        <is>
          <t>GET `overview`</t>
        </is>
      </c>
      <c r="E12" s="162" t="inlineStr">
        <is>
          <t>200, profile info, skill scores, streak data, progress</t>
        </is>
      </c>
      <c r="F12" s="157" t="inlineStr">
        <is>
          <t>Passed</t>
        </is>
      </c>
      <c r="G12" s="156" t="n">
        <v>46127</v>
      </c>
      <c r="H12" s="157" t="inlineStr">
        <is>
          <t>Hoàng Văn Anh Nghĩa</t>
        </is>
      </c>
      <c r="I12" s="157" t="inlineStr">
        <is>
          <t>Passed</t>
        </is>
      </c>
      <c r="J12" s="156" t="n">
        <v>46134</v>
      </c>
      <c r="K12" s="157" t="inlineStr">
        <is>
          <t>Nguyễn Nhật Phát</t>
        </is>
      </c>
      <c r="L12" s="157" t="inlineStr">
        <is>
          <t>Passed</t>
        </is>
      </c>
      <c r="M12" s="156" t="n">
        <v>46141</v>
      </c>
      <c r="N12" s="157" t="inlineStr">
        <is>
          <t>Nguyễn Trần Tấn Phát</t>
        </is>
      </c>
      <c r="O12" s="157" t="n"/>
    </row>
    <row r="13" ht="54" customHeight="1" s="171">
      <c r="A13" s="157" t="inlineStr">
        <is>
          <t>DASH-OV-003</t>
        </is>
      </c>
      <c r="B13" s="157" t="inlineStr">
        <is>
          <t>Frontend dashboard renders overview cards</t>
        </is>
      </c>
      <c r="C13" s="157" t="inlineStr">
        <is>
          <t>Authenticated, some data</t>
        </is>
      </c>
      <c r="D13" s="161" t="inlineStr">
        <is>
          <t>Open `/dashboard`</t>
        </is>
      </c>
      <c r="E13" s="161" t="inlineStr">
        <is>
          <t>Overview cards, skill section, next action, recent activity</t>
        </is>
      </c>
      <c r="F13" s="157" t="inlineStr">
        <is>
          <t>Passed</t>
        </is>
      </c>
      <c r="G13" s="156" t="n">
        <v>46127</v>
      </c>
      <c r="H13" s="157" t="inlineStr">
        <is>
          <t>Nguyễn Nhật Phát</t>
        </is>
      </c>
      <c r="I13" s="157" t="inlineStr">
        <is>
          <t>Passed</t>
        </is>
      </c>
      <c r="J13" s="156" t="n">
        <v>46134</v>
      </c>
      <c r="K13" s="157" t="inlineStr">
        <is>
          <t>Nguyễn Trần Tấn Phát</t>
        </is>
      </c>
      <c r="L13" s="157" t="inlineStr">
        <is>
          <t>Passed</t>
        </is>
      </c>
      <c r="M13" s="156" t="n">
        <v>46141</v>
      </c>
      <c r="N13" s="157" t="inlineStr">
        <is>
          <t>Nguyễn Minh Khôi</t>
        </is>
      </c>
      <c r="O13" s="157" t="n"/>
    </row>
    <row r="14" ht="54" customHeight="1" s="171">
      <c r="A14" s="157" t="inlineStr">
        <is>
          <t>DASH-PROG-002</t>
        </is>
      </c>
      <c r="B14" s="157" t="inlineStr">
        <is>
          <t>Spider chart hidden when fewer than 5 graded exams</t>
        </is>
      </c>
      <c r="C14" s="157" t="inlineStr">
        <is>
          <t>Exam count &lt; 5</t>
        </is>
      </c>
      <c r="D14" s="161" t="inlineStr">
        <is>
          <t>Open dashboard</t>
        </is>
      </c>
      <c r="E14" s="161" t="inlineStr">
        <is>
          <t>Chart hidden, message shown</t>
        </is>
      </c>
      <c r="F14" s="157" t="inlineStr">
        <is>
          <t>Passed</t>
        </is>
      </c>
      <c r="G14" s="156" t="n">
        <v>46127</v>
      </c>
      <c r="H14" s="157" t="inlineStr">
        <is>
          <t>Nguyễn Trần Tấn Phát</t>
        </is>
      </c>
      <c r="I14" s="157" t="inlineStr">
        <is>
          <t>Passed</t>
        </is>
      </c>
      <c r="J14" s="156" t="n">
        <v>46134</v>
      </c>
      <c r="K14" s="157" t="inlineStr">
        <is>
          <t>Nguyễn Minh Khôi</t>
        </is>
      </c>
      <c r="L14" s="157" t="inlineStr">
        <is>
          <t>Passed</t>
        </is>
      </c>
      <c r="M14" s="156" t="n">
        <v>46141</v>
      </c>
      <c r="N14" s="157" t="inlineStr">
        <is>
          <t>Hoàng Văn Anh Nghĩa</t>
        </is>
      </c>
      <c r="O14" s="157" t="n"/>
    </row>
    <row r="15" ht="54" customHeight="1" s="171">
      <c r="A15" s="157" t="inlineStr">
        <is>
          <t>DASH-PROG-003</t>
        </is>
      </c>
      <c r="B15" s="157" t="inlineStr">
        <is>
          <t>Spider chart shows when enough graded exams</t>
        </is>
      </c>
      <c r="C15" s="157" t="inlineStr">
        <is>
          <t>5+ graded full tests</t>
        </is>
      </c>
      <c r="D15" s="161" t="inlineStr">
        <is>
          <t>Open dashboard</t>
        </is>
      </c>
      <c r="E15" s="161" t="inlineStr">
        <is>
          <t>4-axis spider chart with L/R/W/S bands</t>
        </is>
      </c>
      <c r="F15" s="157" t="inlineStr">
        <is>
          <t>Passed</t>
        </is>
      </c>
      <c r="G15" s="156" t="n">
        <v>46127</v>
      </c>
      <c r="H15" s="157" t="inlineStr">
        <is>
          <t>Nguyễn Minh Khôi</t>
        </is>
      </c>
      <c r="I15" s="157" t="inlineStr">
        <is>
          <t>Passed</t>
        </is>
      </c>
      <c r="J15" s="156" t="n">
        <v>46134</v>
      </c>
      <c r="K15" s="157" t="inlineStr">
        <is>
          <t>Hoàng Văn Anh Nghĩa</t>
        </is>
      </c>
      <c r="L15" s="157" t="inlineStr">
        <is>
          <t>Passed</t>
        </is>
      </c>
      <c r="M15" s="156" t="n">
        <v>46141</v>
      </c>
      <c r="N15" s="157" t="inlineStr">
        <is>
          <t>Nguyễn Nhật Phát</t>
        </is>
      </c>
      <c r="O15" s="157" t="n"/>
    </row>
    <row r="16" ht="54" customHeight="1" s="171">
      <c r="A16" s="157" t="inlineStr">
        <is>
          <t>DASH-STK-001</t>
        </is>
      </c>
      <c r="B16" s="157" t="inlineStr">
        <is>
          <t>Streak endpoint shows current state</t>
        </is>
      </c>
      <c r="C16" s="157" t="inlineStr">
        <is>
          <t>Authenticated, activity today</t>
        </is>
      </c>
      <c r="D16" s="161" t="inlineStr">
        <is>
          <t>GET `streak`</t>
        </is>
      </c>
      <c r="E16" s="161" t="inlineStr">
        <is>
          <t>200, current streak, today_active, milestones</t>
        </is>
      </c>
      <c r="F16" s="157" t="inlineStr">
        <is>
          <t>Passed</t>
        </is>
      </c>
      <c r="G16" s="156" t="n">
        <v>46127</v>
      </c>
      <c r="H16" s="157" t="inlineStr">
        <is>
          <t>Hoàng Văn Anh Nghĩa</t>
        </is>
      </c>
      <c r="I16" s="157" t="inlineStr">
        <is>
          <t>Passed</t>
        </is>
      </c>
      <c r="J16" s="156" t="n">
        <v>46134</v>
      </c>
      <c r="K16" s="157" t="inlineStr">
        <is>
          <t>Nguyễn Nhật Phát</t>
        </is>
      </c>
      <c r="L16" s="157" t="inlineStr">
        <is>
          <t>Passed</t>
        </is>
      </c>
      <c r="M16" s="156" t="n">
        <v>46141</v>
      </c>
      <c r="N16" s="157" t="inlineStr">
        <is>
          <t>Nguyễn Trần Tấn Phát</t>
        </is>
      </c>
      <c r="O16" s="157" t="n"/>
    </row>
    <row r="17" ht="54" customHeight="1" s="171">
      <c r="A17" s="157" t="inlineStr">
        <is>
          <t>DASH-STK-002</t>
        </is>
      </c>
      <c r="B17" s="157" t="inlineStr">
        <is>
          <t>Streak increases after full-test submission</t>
        </is>
      </c>
      <c r="C17" s="157" t="inlineStr">
        <is>
          <t>Learner submits full-test exam today</t>
        </is>
      </c>
      <c r="D17" s="161" t="inlineStr">
        <is>
          <t>Submit exam, check streak</t>
        </is>
      </c>
      <c r="E17" s="161" t="inlineStr">
        <is>
          <t>Streak increments (if first full-test today), today_active=true</t>
        </is>
      </c>
      <c r="F17" s="157" t="inlineStr">
        <is>
          <t>Passed</t>
        </is>
      </c>
      <c r="G17" s="156" t="n">
        <v>46127</v>
      </c>
      <c r="H17" s="157" t="inlineStr">
        <is>
          <t>Nguyễn Nhật Phát</t>
        </is>
      </c>
      <c r="I17" s="157" t="inlineStr">
        <is>
          <t>Passed</t>
        </is>
      </c>
      <c r="J17" s="156" t="n">
        <v>46134</v>
      </c>
      <c r="K17" s="157" t="inlineStr">
        <is>
          <t>Nguyễn Trần Tấn Phát</t>
        </is>
      </c>
      <c r="L17" s="157" t="inlineStr">
        <is>
          <t>Passed</t>
        </is>
      </c>
      <c r="M17" s="156" t="n">
        <v>46141</v>
      </c>
      <c r="N17" s="157" t="inlineStr">
        <is>
          <t>Nguyễn Minh Khôi</t>
        </is>
      </c>
      <c r="O17" s="157" t="n"/>
    </row>
    <row r="18" ht="54" customHeight="1" s="171">
      <c r="A18" s="157" t="inlineStr">
        <is>
          <t>DASH-STK-003</t>
        </is>
      </c>
      <c r="B18" s="157" t="inlineStr">
        <is>
          <t>Claim streak milestone grants coins</t>
        </is>
      </c>
      <c r="C18" s="157" t="inlineStr">
        <is>
          <t>Streak days reach milestone threshold</t>
        </is>
      </c>
      <c r="D18" s="161" t="inlineStr">
        <is>
          <t>POST `streak/milestones/{days}/claim`</t>
        </is>
      </c>
      <c r="E18" s="161" t="inlineStr">
        <is>
          <t>200, coins granted, wallet updated, milestone marked claimed</t>
        </is>
      </c>
      <c r="F18" s="157" t="inlineStr">
        <is>
          <t>Passed</t>
        </is>
      </c>
      <c r="G18" s="156" t="n">
        <v>46127</v>
      </c>
      <c r="H18" s="157" t="inlineStr">
        <is>
          <t>Nguyễn Trần Tấn Phát</t>
        </is>
      </c>
      <c r="I18" s="157" t="inlineStr">
        <is>
          <t>Passed</t>
        </is>
      </c>
      <c r="J18" s="156" t="n">
        <v>46134</v>
      </c>
      <c r="K18" s="157" t="inlineStr">
        <is>
          <t>Nguyễn Minh Khôi</t>
        </is>
      </c>
      <c r="L18" s="157" t="inlineStr">
        <is>
          <t>Passed</t>
        </is>
      </c>
      <c r="M18" s="156" t="n">
        <v>46141</v>
      </c>
      <c r="N18" s="157" t="inlineStr">
        <is>
          <t>Hoàng Văn Anh Nghĩa</t>
        </is>
      </c>
      <c r="O18" s="157" t="n"/>
    </row>
    <row r="19" ht="54" customHeight="1" s="171">
      <c r="A19" s="157" t="inlineStr">
        <is>
          <t>DASH-STK-005</t>
        </is>
      </c>
      <c r="B19" s="157" t="inlineStr">
        <is>
          <t>Frontend streak dialog</t>
        </is>
      </c>
      <c r="C19" s="157" t="inlineStr">
        <is>
          <t>Authenticated with streak data</t>
        </is>
      </c>
      <c r="D19" s="161" t="inlineStr">
        <is>
          <t>Open streak dialog from dashboard</t>
        </is>
      </c>
      <c r="E19" s="161" t="inlineStr">
        <is>
          <t>Current streak, milestones progress bar, chest rewards, claim buttons</t>
        </is>
      </c>
      <c r="F19" s="157" t="inlineStr">
        <is>
          <t>Passed</t>
        </is>
      </c>
      <c r="G19" s="156" t="n">
        <v>46127</v>
      </c>
      <c r="H19" s="157" t="inlineStr">
        <is>
          <t>Nguyễn Minh Khôi</t>
        </is>
      </c>
      <c r="I19" s="157" t="inlineStr">
        <is>
          <t>Passed</t>
        </is>
      </c>
      <c r="J19" s="156" t="n">
        <v>46134</v>
      </c>
      <c r="K19" s="157" t="inlineStr">
        <is>
          <t>Hoàng Văn Anh Nghĩa</t>
        </is>
      </c>
      <c r="L19" s="157" t="inlineStr">
        <is>
          <t>Passed</t>
        </is>
      </c>
      <c r="M19" s="156" t="n">
        <v>46141</v>
      </c>
      <c r="N19" s="157" t="inlineStr">
        <is>
          <t>Nguyễn Nhật Phát</t>
        </is>
      </c>
      <c r="O19" s="157" t="n"/>
    </row>
    <row r="20" ht="54" customHeight="1" s="171">
      <c r="A20" s="157" t="inlineStr">
        <is>
          <t>DASH-LP-001</t>
        </is>
      </c>
      <c r="B20" s="157" t="inlineStr">
        <is>
          <t>Learning path returns weak skill recommendations</t>
        </is>
      </c>
      <c r="C20" s="157" t="inlineStr">
        <is>
          <t>Learner has exam results showing skill gaps</t>
        </is>
      </c>
      <c r="D20" s="161" t="inlineStr">
        <is>
          <t>GET `learning-path`</t>
        </is>
      </c>
      <c r="E20" s="161" t="inlineStr">
        <is>
          <t>200, recommended skills with band/coverage data</t>
        </is>
      </c>
      <c r="F20" s="157" t="inlineStr">
        <is>
          <t>Passed</t>
        </is>
      </c>
      <c r="G20" s="156" t="n">
        <v>46127</v>
      </c>
      <c r="H20" s="157" t="inlineStr">
        <is>
          <t>Hoàng Văn Anh Nghĩa</t>
        </is>
      </c>
      <c r="I20" s="157" t="inlineStr">
        <is>
          <t>Passed</t>
        </is>
      </c>
      <c r="J20" s="156" t="n">
        <v>46134</v>
      </c>
      <c r="K20" s="157" t="inlineStr">
        <is>
          <t>Nguyễn Nhật Phát</t>
        </is>
      </c>
      <c r="L20" s="157" t="inlineStr">
        <is>
          <t>Passed</t>
        </is>
      </c>
      <c r="M20" s="156" t="n">
        <v>46141</v>
      </c>
      <c r="N20" s="157" t="inlineStr">
        <is>
          <t>Nguyễn Trần Tấn Phát</t>
        </is>
      </c>
      <c r="O20" s="157" t="n"/>
    </row>
    <row r="21" ht="54" customHeight="1" s="171">
      <c r="A21" s="157" t="inlineStr">
        <is>
          <t>DASH-LP-004</t>
        </is>
      </c>
      <c r="B21" s="157" t="inlineStr">
        <is>
          <t>Frontend recommendation section</t>
        </is>
      </c>
      <c r="C21" s="157" t="inlineStr">
        <is>
          <t>Weak skills detected</t>
        </is>
      </c>
      <c r="D21" s="161" t="inlineStr">
        <is>
          <t>Open practice or dashboard</t>
        </is>
      </c>
      <c r="E21" s="161" t="inlineStr">
        <is>
          <t>Recommendation cards with band, coverage, suggested exercises</t>
        </is>
      </c>
      <c r="F21" s="157" t="inlineStr">
        <is>
          <t>Passed</t>
        </is>
      </c>
      <c r="G21" s="156" t="n">
        <v>46127</v>
      </c>
      <c r="H21" s="157" t="inlineStr">
        <is>
          <t>Nguyễn Nhật Phát</t>
        </is>
      </c>
      <c r="I21" s="157" t="inlineStr">
        <is>
          <t>Passed</t>
        </is>
      </c>
      <c r="J21" s="156" t="n">
        <v>46134</v>
      </c>
      <c r="K21" s="157" t="inlineStr">
        <is>
          <t>Nguyễn Trần Tấn Phát</t>
        </is>
      </c>
      <c r="L21" s="157" t="inlineStr">
        <is>
          <t>Passed</t>
        </is>
      </c>
      <c r="M21" s="156" t="n">
        <v>46141</v>
      </c>
      <c r="N21" s="157" t="inlineStr">
        <is>
          <t>Nguyễn Minh Khôi</t>
        </is>
      </c>
      <c r="O21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Course Enrollment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List, enrollment order, frontend flow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Course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COURSE-EN-001</t>
        </is>
      </c>
      <c r="B12" s="168" t="inlineStr">
        <is>
          <t>List available courses</t>
        </is>
      </c>
      <c r="C12" s="168" t="inlineStr">
        <is>
          <t>Published courses exist</t>
        </is>
      </c>
      <c r="D12" s="161" t="inlineStr">
        <is>
          <t>GET `courses`</t>
        </is>
      </c>
      <c r="E12" s="162" t="inlineStr">
        <is>
          <t>200, course list with title, teacher, price, dates</t>
        </is>
      </c>
      <c r="F12" s="157" t="inlineStr">
        <is>
          <t>Passed</t>
        </is>
      </c>
      <c r="G12" s="156" t="n">
        <v>46127</v>
      </c>
      <c r="H12" s="157" t="inlineStr">
        <is>
          <t>Nguyễn Nhật Phát</t>
        </is>
      </c>
      <c r="I12" s="157" t="inlineStr">
        <is>
          <t>Passed</t>
        </is>
      </c>
      <c r="J12" s="156" t="n">
        <v>46134</v>
      </c>
      <c r="K12" s="157" t="inlineStr">
        <is>
          <t>Nguyễn Trần Tấn Phát</t>
        </is>
      </c>
      <c r="L12" s="157" t="inlineStr">
        <is>
          <t>Passed</t>
        </is>
      </c>
      <c r="M12" s="156" t="n">
        <v>46141</v>
      </c>
      <c r="N12" s="157" t="inlineStr">
        <is>
          <t>Nguyễn Minh Khôi</t>
        </is>
      </c>
      <c r="O12" s="157" t="n"/>
    </row>
    <row r="13" ht="54" customHeight="1" s="171">
      <c r="A13" s="157" t="inlineStr">
        <is>
          <t>COURSE-EN-003</t>
        </is>
      </c>
      <c r="B13" s="157" t="inlineStr">
        <is>
          <t>Create enrollment order</t>
        </is>
      </c>
      <c r="C13" s="157" t="inlineStr">
        <is>
          <t>Course available, wallet enough</t>
        </is>
      </c>
      <c r="D13" s="161" t="inlineStr">
        <is>
          <t>POST `courses/{course}/enrollment-orders`</t>
        </is>
      </c>
      <c r="E13" s="161" t="inlineStr">
        <is>
          <t>201, enrollment order created, coins deducted</t>
        </is>
      </c>
      <c r="F13" s="157" t="inlineStr">
        <is>
          <t>Passed</t>
        </is>
      </c>
      <c r="G13" s="156" t="n">
        <v>46127</v>
      </c>
      <c r="H13" s="157" t="inlineStr">
        <is>
          <t>Nguyễn Trần Tấn Phát</t>
        </is>
      </c>
      <c r="I13" s="157" t="inlineStr">
        <is>
          <t>Passed</t>
        </is>
      </c>
      <c r="J13" s="156" t="n">
        <v>46134</v>
      </c>
      <c r="K13" s="157" t="inlineStr">
        <is>
          <t>Nguyễn Minh Khôi</t>
        </is>
      </c>
      <c r="L13" s="157" t="inlineStr">
        <is>
          <t>Passed</t>
        </is>
      </c>
      <c r="M13" s="156" t="n">
        <v>46141</v>
      </c>
      <c r="N13" s="157" t="inlineStr">
        <is>
          <t>Hoàng Văn Anh Nghĩa</t>
        </is>
      </c>
      <c r="O13" s="157" t="n"/>
    </row>
    <row r="14" ht="54" customHeight="1" s="171">
      <c r="A14" s="157" t="inlineStr">
        <is>
          <t>COURSE-EN-005</t>
        </is>
      </c>
      <c r="B14" s="157" t="inlineStr">
        <is>
          <t>Course enrollment frontend flow</t>
        </is>
      </c>
      <c r="C14" s="157" t="inlineStr">
        <is>
          <t>Course available, sufficient coins</t>
        </is>
      </c>
      <c r="D14" s="161" t="inlineStr">
        <is>
          <t>Open course detail, click enroll</t>
        </is>
      </c>
      <c r="E14" s="161" t="inlineStr">
        <is>
          <t>EnrollDialog, coin deduction display, success confirmation</t>
        </is>
      </c>
      <c r="F14" s="157" t="inlineStr">
        <is>
          <t>Passed</t>
        </is>
      </c>
      <c r="G14" s="156" t="n">
        <v>46127</v>
      </c>
      <c r="H14" s="157" t="inlineStr">
        <is>
          <t>Nguyễn Minh Khôi</t>
        </is>
      </c>
      <c r="I14" s="157" t="inlineStr">
        <is>
          <t>Passed</t>
        </is>
      </c>
      <c r="J14" s="156" t="n">
        <v>46134</v>
      </c>
      <c r="K14" s="157" t="inlineStr">
        <is>
          <t>Hoàng Văn Anh Nghĩa</t>
        </is>
      </c>
      <c r="L14" s="157" t="inlineStr">
        <is>
          <t>Passed</t>
        </is>
      </c>
      <c r="M14" s="156" t="n">
        <v>46141</v>
      </c>
      <c r="N14" s="157" t="inlineStr">
        <is>
          <t>Nguyễn Nhật Phát</t>
        </is>
      </c>
      <c r="O14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Booking &amp; Notification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Book slot, coin, limit, commitment, notifications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Course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COURSE-BK-002</t>
        </is>
      </c>
      <c r="B12" s="168" t="inlineStr">
        <is>
          <t>Book a slot</t>
        </is>
      </c>
      <c r="C12" s="168" t="inlineStr">
        <is>
          <t>Available slot, enrolled, enough coins</t>
        </is>
      </c>
      <c r="D12" s="161" t="inlineStr">
        <is>
          <t>POST `courses/{course}/bookings` with slot_id</t>
        </is>
      </c>
      <c r="E12" s="162" t="inlineStr">
        <is>
          <t>201, booking created, coins deducted</t>
        </is>
      </c>
      <c r="F12" s="157" t="inlineStr">
        <is>
          <t>Passed</t>
        </is>
      </c>
      <c r="G12" s="156" t="n">
        <v>46127</v>
      </c>
      <c r="H12" s="157" t="inlineStr">
        <is>
          <t>Nguyễn Trần Tấn Phát</t>
        </is>
      </c>
      <c r="I12" s="157" t="inlineStr">
        <is>
          <t>Passed</t>
        </is>
      </c>
      <c r="J12" s="156" t="n">
        <v>46134</v>
      </c>
      <c r="K12" s="157" t="inlineStr">
        <is>
          <t>Nguyễn Minh Khôi</t>
        </is>
      </c>
      <c r="L12" s="157" t="inlineStr">
        <is>
          <t>Passed</t>
        </is>
      </c>
      <c r="M12" s="156" t="n">
        <v>46141</v>
      </c>
      <c r="N12" s="157" t="inlineStr">
        <is>
          <t>Hoàng Văn Anh Nghĩa</t>
        </is>
      </c>
      <c r="O12" s="157" t="n"/>
    </row>
    <row r="13" ht="54" customHeight="1" s="171">
      <c r="A13" s="157" t="inlineStr">
        <is>
          <t>COURSE-BK-003</t>
        </is>
      </c>
      <c r="B13" s="157" t="inlineStr">
        <is>
          <t>Booking cost deduction from wallet</t>
        </is>
      </c>
      <c r="C13" s="157" t="inlineStr">
        <is>
          <t>Wallet enough coins</t>
        </is>
      </c>
      <c r="D13" s="161" t="inlineStr">
        <is>
          <t>Book slot</t>
        </is>
      </c>
      <c r="E13" s="161" t="inlineStr">
        <is>
          <t>Wallet balance decreases by booking_coin_cost</t>
        </is>
      </c>
      <c r="F13" s="157" t="inlineStr">
        <is>
          <t>Passed</t>
        </is>
      </c>
      <c r="G13" s="156" t="n">
        <v>46127</v>
      </c>
      <c r="H13" s="157" t="inlineStr">
        <is>
          <t>Nguyễn Minh Khôi</t>
        </is>
      </c>
      <c r="I13" s="157" t="inlineStr">
        <is>
          <t>Passed</t>
        </is>
      </c>
      <c r="J13" s="156" t="n">
        <v>46134</v>
      </c>
      <c r="K13" s="157" t="inlineStr">
        <is>
          <t>Hoàng Văn Anh Nghĩa</t>
        </is>
      </c>
      <c r="L13" s="157" t="inlineStr">
        <is>
          <t>Passed</t>
        </is>
      </c>
      <c r="M13" s="156" t="n">
        <v>46141</v>
      </c>
      <c r="N13" s="157" t="inlineStr">
        <is>
          <t>Nguyễn Nhật Phát</t>
        </is>
      </c>
      <c r="O13" s="157" t="n"/>
    </row>
    <row r="14" ht="54" customHeight="1" s="171">
      <c r="A14" s="157" t="inlineStr">
        <is>
          <t>COURSE-BK-004</t>
        </is>
      </c>
      <c r="B14" s="157" t="inlineStr">
        <is>
          <t>Cannot book beyond max slots</t>
        </is>
      </c>
      <c r="C14" s="157" t="inlineStr">
        <is>
          <t>At max_bookings_per_student</t>
        </is>
      </c>
      <c r="D14" s="161" t="inlineStr">
        <is>
          <t>Try to book additional slot</t>
        </is>
      </c>
      <c r="E14" s="161" t="inlineStr">
        <is>
          <t>422, limit reached</t>
        </is>
      </c>
      <c r="F14" s="157" t="inlineStr">
        <is>
          <t>Passed</t>
        </is>
      </c>
      <c r="G14" s="156" t="n">
        <v>46127</v>
      </c>
      <c r="H14" s="157" t="inlineStr">
        <is>
          <t>Hoàng Văn Anh Nghĩa</t>
        </is>
      </c>
      <c r="I14" s="157" t="inlineStr">
        <is>
          <t>Passed</t>
        </is>
      </c>
      <c r="J14" s="156" t="n">
        <v>46134</v>
      </c>
      <c r="K14" s="157" t="inlineStr">
        <is>
          <t>Nguyễn Nhật Phát</t>
        </is>
      </c>
      <c r="L14" s="157" t="inlineStr">
        <is>
          <t>Passed</t>
        </is>
      </c>
      <c r="M14" s="156" t="n">
        <v>46141</v>
      </c>
      <c r="N14" s="157" t="inlineStr">
        <is>
          <t>Nguyễn Trần Tấn Phát</t>
        </is>
      </c>
      <c r="O14" s="157" t="n"/>
    </row>
    <row r="15" ht="54" customHeight="1" s="171">
      <c r="A15" s="157" t="inlineStr">
        <is>
          <t>COURSE-BK-010</t>
        </is>
      </c>
      <c r="B15" s="157" t="inlineStr">
        <is>
          <t>Commitment gate blocks booking</t>
        </is>
      </c>
      <c r="C15" s="157" t="inlineStr">
        <is>
          <t>Commitment not met (not enough full-tests in window)</t>
        </is>
      </c>
      <c r="D15" s="161" t="inlineStr">
        <is>
          <t>Try to book</t>
        </is>
      </c>
      <c r="E15" s="161" t="inlineStr">
        <is>
          <t>Booking blocked, message explaining commitment</t>
        </is>
      </c>
      <c r="F15" s="157" t="inlineStr">
        <is>
          <t>Passed</t>
        </is>
      </c>
      <c r="G15" s="156" t="n">
        <v>46127</v>
      </c>
      <c r="H15" s="157" t="inlineStr">
        <is>
          <t>Nguyễn Nhật Phát</t>
        </is>
      </c>
      <c r="I15" s="157" t="inlineStr">
        <is>
          <t>Passed</t>
        </is>
      </c>
      <c r="J15" s="156" t="n">
        <v>46134</v>
      </c>
      <c r="K15" s="157" t="inlineStr">
        <is>
          <t>Nguyễn Trần Tấn Phát</t>
        </is>
      </c>
      <c r="L15" s="157" t="inlineStr">
        <is>
          <t>Passed</t>
        </is>
      </c>
      <c r="M15" s="156" t="n">
        <v>46141</v>
      </c>
      <c r="N15" s="157" t="inlineStr">
        <is>
          <t>Nguyễn Minh Khôi</t>
        </is>
      </c>
      <c r="O15" s="157" t="n"/>
    </row>
    <row r="16" ht="54" customHeight="1" s="171">
      <c r="A16" s="157" t="inlineStr">
        <is>
          <t>NOTIF-001</t>
        </is>
      </c>
      <c r="B16" s="157" t="inlineStr">
        <is>
          <t>List notifications for learner</t>
        </is>
      </c>
      <c r="C16" s="157" t="inlineStr">
        <is>
          <t>Some notifications exist</t>
        </is>
      </c>
      <c r="D16" s="161" t="inlineStr">
        <is>
          <t>GET `notifications`</t>
        </is>
      </c>
      <c r="E16" s="161" t="inlineStr">
        <is>
          <t>200, notification list with type, title, body, read status</t>
        </is>
      </c>
      <c r="F16" s="157" t="inlineStr">
        <is>
          <t>Passed</t>
        </is>
      </c>
      <c r="G16" s="156" t="n">
        <v>46127</v>
      </c>
      <c r="H16" s="157" t="inlineStr">
        <is>
          <t>Nguyễn Trần Tấn Phát</t>
        </is>
      </c>
      <c r="I16" s="157" t="inlineStr">
        <is>
          <t>Passed</t>
        </is>
      </c>
      <c r="J16" s="156" t="n">
        <v>46134</v>
      </c>
      <c r="K16" s="157" t="inlineStr">
        <is>
          <t>Nguyễn Minh Khôi</t>
        </is>
      </c>
      <c r="L16" s="157" t="inlineStr">
        <is>
          <t>Passed</t>
        </is>
      </c>
      <c r="M16" s="156" t="n">
        <v>46141</v>
      </c>
      <c r="N16" s="157" t="inlineStr">
        <is>
          <t>Hoàng Văn Anh Nghĩa</t>
        </is>
      </c>
      <c r="O16" s="157" t="n"/>
    </row>
    <row r="17" ht="54" customHeight="1" s="171">
      <c r="A17" s="157" t="inlineStr">
        <is>
          <t>NOTIF-007</t>
        </is>
      </c>
      <c r="B17" s="157" t="inlineStr">
        <is>
          <t>Frontend notification bell</t>
        </is>
      </c>
      <c r="C17" s="157" t="inlineStr">
        <is>
          <t>Authenticated, notifications exist</t>
        </is>
      </c>
      <c r="D17" s="161" t="inlineStr">
        <is>
          <t>Click bell icon</t>
        </is>
      </c>
      <c r="E17" s="161" t="inlineStr">
        <is>
          <t>Dropdown with recent notifications, unread badge</t>
        </is>
      </c>
      <c r="F17" s="157" t="inlineStr">
        <is>
          <t>Passed</t>
        </is>
      </c>
      <c r="G17" s="156" t="n">
        <v>46127</v>
      </c>
      <c r="H17" s="157" t="inlineStr">
        <is>
          <t>Nguyễn Minh Khôi</t>
        </is>
      </c>
      <c r="I17" s="157" t="inlineStr">
        <is>
          <t>Passed</t>
        </is>
      </c>
      <c r="J17" s="156" t="n">
        <v>46134</v>
      </c>
      <c r="K17" s="157" t="inlineStr">
        <is>
          <t>Hoàng Văn Anh Nghĩa</t>
        </is>
      </c>
      <c r="L17" s="157" t="inlineStr">
        <is>
          <t>Passed</t>
        </is>
      </c>
      <c r="M17" s="156" t="n">
        <v>46141</v>
      </c>
      <c r="N17" s="157" t="inlineStr">
        <is>
          <t>Nguyễn Nhật Phát</t>
        </is>
      </c>
      <c r="O17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Admin Dashboard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Stats, alerts, role enforcement, frontend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Admin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ADM-DASH-001</t>
        </is>
      </c>
      <c r="B12" s="168" t="inlineStr">
        <is>
          <t>Dashboard returns aggregate stats</t>
        </is>
      </c>
      <c r="C12" s="168" t="inlineStr">
        <is>
          <t>Admin authenticated, data seeded</t>
        </is>
      </c>
      <c r="D12" s="161" t="inlineStr">
        <is>
          <t>GET `admin/stats`</t>
        </is>
      </c>
      <c r="E12" s="162" t="inlineStr">
        <is>
          <t>200, users_total, exams_total, exams_published, vocab_topics, grammar_points</t>
        </is>
      </c>
      <c r="F12" s="157" t="inlineStr">
        <is>
          <t>Passed</t>
        </is>
      </c>
      <c r="G12" s="156" t="n">
        <v>46127</v>
      </c>
      <c r="H12" s="157" t="inlineStr">
        <is>
          <t>Nguyễn Minh Khôi</t>
        </is>
      </c>
      <c r="I12" s="157" t="inlineStr">
        <is>
          <t>Passed</t>
        </is>
      </c>
      <c r="J12" s="156" t="n">
        <v>46134</v>
      </c>
      <c r="K12" s="157" t="inlineStr">
        <is>
          <t>Hoàng Văn Anh Nghĩa</t>
        </is>
      </c>
      <c r="L12" s="157" t="inlineStr">
        <is>
          <t>Passed</t>
        </is>
      </c>
      <c r="M12" s="156" t="n">
        <v>46141</v>
      </c>
      <c r="N12" s="157" t="inlineStr">
        <is>
          <t>Nguyễn Nhật Phát</t>
        </is>
      </c>
      <c r="O12" s="157" t="n"/>
    </row>
    <row r="13" ht="54" customHeight="1" s="171">
      <c r="A13" s="157" t="inlineStr">
        <is>
          <t>ADM-DASH-002</t>
        </is>
      </c>
      <c r="B13" s="157" t="inlineStr">
        <is>
          <t>Dashboard alerts detects failed grading jobs</t>
        </is>
      </c>
      <c r="C13" s="157" t="inlineStr">
        <is>
          <t>Failed grading job exists</t>
        </is>
      </c>
      <c r="D13" s="161" t="inlineStr">
        <is>
          <t>GET `admin/alerts`</t>
        </is>
      </c>
      <c r="E13" s="161" t="inlineStr">
        <is>
          <t>200, alert with type=error</t>
        </is>
      </c>
      <c r="F13" s="157" t="inlineStr">
        <is>
          <t>Passed</t>
        </is>
      </c>
      <c r="G13" s="156" t="n">
        <v>46127</v>
      </c>
      <c r="H13" s="157" t="inlineStr">
        <is>
          <t>Hoàng Văn Anh Nghĩa</t>
        </is>
      </c>
      <c r="I13" s="157" t="inlineStr">
        <is>
          <t>Passed</t>
        </is>
      </c>
      <c r="J13" s="156" t="n">
        <v>46134</v>
      </c>
      <c r="K13" s="157" t="inlineStr">
        <is>
          <t>Nguyễn Nhật Phát</t>
        </is>
      </c>
      <c r="L13" s="157" t="inlineStr">
        <is>
          <t>Passed</t>
        </is>
      </c>
      <c r="M13" s="156" t="n">
        <v>46141</v>
      </c>
      <c r="N13" s="157" t="inlineStr">
        <is>
          <t>Nguyễn Trần Tấn Phát</t>
        </is>
      </c>
      <c r="O13" s="157" t="n"/>
    </row>
    <row r="14" ht="54" customHeight="1" s="171">
      <c r="A14" s="157" t="inlineStr">
        <is>
          <t>ADM-DASH-005</t>
        </is>
      </c>
      <c r="B14" s="157" t="inlineStr">
        <is>
          <t>Admin dashboard requires staff role</t>
        </is>
      </c>
      <c r="C14" s="157" t="inlineStr">
        <is>
          <t>Learner user</t>
        </is>
      </c>
      <c r="D14" s="161" t="inlineStr">
        <is>
          <t>GET `admin/stats` with learner token</t>
        </is>
      </c>
      <c r="E14" s="161" t="inlineStr">
        <is>
          <t>403 Forbidden</t>
        </is>
      </c>
      <c r="F14" s="157" t="inlineStr">
        <is>
          <t>Passed</t>
        </is>
      </c>
      <c r="G14" s="156" t="n">
        <v>46127</v>
      </c>
      <c r="H14" s="157" t="inlineStr">
        <is>
          <t>Nguyễn Nhật Phát</t>
        </is>
      </c>
      <c r="I14" s="157" t="inlineStr">
        <is>
          <t>Passed</t>
        </is>
      </c>
      <c r="J14" s="156" t="n">
        <v>46134</v>
      </c>
      <c r="K14" s="157" t="inlineStr">
        <is>
          <t>Nguyễn Trần Tấn Phát</t>
        </is>
      </c>
      <c r="L14" s="157" t="inlineStr">
        <is>
          <t>Passed</t>
        </is>
      </c>
      <c r="M14" s="156" t="n">
        <v>46141</v>
      </c>
      <c r="N14" s="157" t="inlineStr">
        <is>
          <t>Nguyễn Minh Khôi</t>
        </is>
      </c>
      <c r="O14" s="157" t="n"/>
    </row>
    <row r="15" ht="54" customHeight="1" s="171">
      <c r="A15" s="157" t="inlineStr">
        <is>
          <t>ADM-DASH-007</t>
        </is>
      </c>
      <c r="B15" s="157" t="inlineStr">
        <is>
          <t>Frontend admin dashboard renders all card sections</t>
        </is>
      </c>
      <c r="C15" s="157" t="inlineStr">
        <is>
          <t>Admin authenticated, data available</t>
        </is>
      </c>
      <c r="D15" s="161" t="inlineStr">
        <is>
          <t>Open admin dashboard</t>
        </is>
      </c>
      <c r="E15" s="161" t="inlineStr">
        <is>
          <t>Stats cards, revenue charts, wallet economy, content chart, grading throughput, alerts visible</t>
        </is>
      </c>
      <c r="F15" s="157" t="inlineStr">
        <is>
          <t>Passed</t>
        </is>
      </c>
      <c r="G15" s="156" t="n">
        <v>46127</v>
      </c>
      <c r="H15" s="157" t="inlineStr">
        <is>
          <t>Nguyễn Trần Tấn Phát</t>
        </is>
      </c>
      <c r="I15" s="157" t="inlineStr">
        <is>
          <t>Passed</t>
        </is>
      </c>
      <c r="J15" s="156" t="n">
        <v>46134</v>
      </c>
      <c r="K15" s="157" t="inlineStr">
        <is>
          <t>Nguyễn Minh Khôi</t>
        </is>
      </c>
      <c r="L15" s="157" t="inlineStr">
        <is>
          <t>Passed</t>
        </is>
      </c>
      <c r="M15" s="156" t="n">
        <v>46141</v>
      </c>
      <c r="N15" s="157" t="inlineStr">
        <is>
          <t>Hoàng Văn Anh Nghĩa</t>
        </is>
      </c>
      <c r="O15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Admin Vocab &amp; Grammar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Vocab/grammar CRUD, publish/unpublish, frontend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Admin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ADM-VOC-001</t>
        </is>
      </c>
      <c r="B12" s="168" t="inlineStr">
        <is>
          <t>List vocabulary topics</t>
        </is>
      </c>
      <c r="C12" s="168" t="inlineStr">
        <is>
          <t>Admin authenticated, topics exist</t>
        </is>
      </c>
      <c r="D12" s="161" t="inlineStr">
        <is>
          <t>GET `admin/vocab/topics`</t>
        </is>
      </c>
      <c r="E12" s="162" t="inlineStr">
        <is>
          <t>200, topic list with status, word count</t>
        </is>
      </c>
      <c r="F12" s="157" t="inlineStr">
        <is>
          <t>Passed</t>
        </is>
      </c>
      <c r="G12" s="156" t="n">
        <v>46127</v>
      </c>
      <c r="H12" s="157" t="inlineStr">
        <is>
          <t>Hoàng Văn Anh Nghĩa</t>
        </is>
      </c>
      <c r="I12" s="157" t="inlineStr">
        <is>
          <t>Passed</t>
        </is>
      </c>
      <c r="J12" s="156" t="n">
        <v>46134</v>
      </c>
      <c r="K12" s="157" t="inlineStr">
        <is>
          <t>Nguyễn Nhật Phát</t>
        </is>
      </c>
      <c r="L12" s="157" t="inlineStr">
        <is>
          <t>Passed</t>
        </is>
      </c>
      <c r="M12" s="156" t="n">
        <v>46141</v>
      </c>
      <c r="N12" s="157" t="inlineStr">
        <is>
          <t>Nguyễn Trần Tấn Phát</t>
        </is>
      </c>
      <c r="O12" s="157" t="n"/>
    </row>
    <row r="13" ht="54" customHeight="1" s="171">
      <c r="A13" s="157" t="inlineStr">
        <is>
          <t>ADM-VOC-002</t>
        </is>
      </c>
      <c r="B13" s="157" t="inlineStr">
        <is>
          <t>Create vocabulary topic</t>
        </is>
      </c>
      <c r="C13" s="157" t="inlineStr">
        <is>
          <t>Admin authenticated</t>
        </is>
      </c>
      <c r="D13" s="161" t="inlineStr">
        <is>
          <t>POST `admin/vocab/topics` with title/level/order</t>
        </is>
      </c>
      <c r="E13" s="161" t="inlineStr">
        <is>
          <t>201, topic created as draft</t>
        </is>
      </c>
      <c r="F13" s="157" t="inlineStr">
        <is>
          <t>Passed</t>
        </is>
      </c>
      <c r="G13" s="156" t="n">
        <v>46127</v>
      </c>
      <c r="H13" s="157" t="inlineStr">
        <is>
          <t>Nguyễn Nhật Phát</t>
        </is>
      </c>
      <c r="I13" s="157" t="inlineStr">
        <is>
          <t>Passed</t>
        </is>
      </c>
      <c r="J13" s="156" t="n">
        <v>46134</v>
      </c>
      <c r="K13" s="157" t="inlineStr">
        <is>
          <t>Nguyễn Trần Tấn Phát</t>
        </is>
      </c>
      <c r="L13" s="157" t="inlineStr">
        <is>
          <t>Passed</t>
        </is>
      </c>
      <c r="M13" s="156" t="n">
        <v>46141</v>
      </c>
      <c r="N13" s="157" t="inlineStr">
        <is>
          <t>Nguyễn Minh Khôi</t>
        </is>
      </c>
      <c r="O13" s="157" t="n"/>
    </row>
    <row r="14" ht="54" customHeight="1" s="171">
      <c r="A14" s="157" t="inlineStr">
        <is>
          <t>ADM-VOC-004</t>
        </is>
      </c>
      <c r="B14" s="157" t="inlineStr">
        <is>
          <t>Publish vocabulary topic</t>
        </is>
      </c>
      <c r="C14" s="157" t="inlineStr">
        <is>
          <t>Draft topic with words + exercises</t>
        </is>
      </c>
      <c r="D14" s="161" t="inlineStr">
        <is>
          <t>POST `admin/vocab/topics/{id}/publish`</t>
        </is>
      </c>
      <c r="E14" s="161" t="inlineStr">
        <is>
          <t>200, topic published, visible to learners</t>
        </is>
      </c>
      <c r="F14" s="157" t="inlineStr">
        <is>
          <t>Passed</t>
        </is>
      </c>
      <c r="G14" s="156" t="n">
        <v>46127</v>
      </c>
      <c r="H14" s="157" t="inlineStr">
        <is>
          <t>Nguyễn Trần Tấn Phát</t>
        </is>
      </c>
      <c r="I14" s="157" t="inlineStr">
        <is>
          <t>Passed</t>
        </is>
      </c>
      <c r="J14" s="156" t="n">
        <v>46134</v>
      </c>
      <c r="K14" s="157" t="inlineStr">
        <is>
          <t>Nguyễn Minh Khôi</t>
        </is>
      </c>
      <c r="L14" s="157" t="inlineStr">
        <is>
          <t>Passed</t>
        </is>
      </c>
      <c r="M14" s="156" t="n">
        <v>46141</v>
      </c>
      <c r="N14" s="157" t="inlineStr">
        <is>
          <t>Hoàng Văn Anh Nghĩa</t>
        </is>
      </c>
      <c r="O14" s="157" t="n"/>
    </row>
    <row r="15" ht="54" customHeight="1" s="171">
      <c r="A15" s="157" t="inlineStr">
        <is>
          <t>ADM-VOC-005</t>
        </is>
      </c>
      <c r="B15" s="157" t="inlineStr">
        <is>
          <t>Unpublish vocabulary topic</t>
        </is>
      </c>
      <c r="C15" s="157" t="inlineStr">
        <is>
          <t>Published topic</t>
        </is>
      </c>
      <c r="D15" s="161" t="inlineStr">
        <is>
          <t>POST `admin/vocab/topics/{id}/unpublish`</t>
        </is>
      </c>
      <c r="E15" s="161" t="inlineStr">
        <is>
          <t>200, topic hidden from learners</t>
        </is>
      </c>
      <c r="F15" s="157" t="inlineStr">
        <is>
          <t>Passed</t>
        </is>
      </c>
      <c r="G15" s="156" t="n">
        <v>46127</v>
      </c>
      <c r="H15" s="157" t="inlineStr">
        <is>
          <t>Nguyễn Minh Khôi</t>
        </is>
      </c>
      <c r="I15" s="157" t="inlineStr">
        <is>
          <t>Passed</t>
        </is>
      </c>
      <c r="J15" s="156" t="n">
        <v>46134</v>
      </c>
      <c r="K15" s="157" t="inlineStr">
        <is>
          <t>Hoàng Văn Anh Nghĩa</t>
        </is>
      </c>
      <c r="L15" s="157" t="inlineStr">
        <is>
          <t>Passed</t>
        </is>
      </c>
      <c r="M15" s="156" t="n">
        <v>46141</v>
      </c>
      <c r="N15" s="157" t="inlineStr">
        <is>
          <t>Nguyễn Nhật Phát</t>
        </is>
      </c>
      <c r="O15" s="157" t="n"/>
    </row>
    <row r="16" ht="54" customHeight="1" s="171">
      <c r="A16" s="157" t="inlineStr">
        <is>
          <t>ADM-VOC-015</t>
        </is>
      </c>
      <c r="B16" s="157" t="inlineStr">
        <is>
          <t>Frontend admin vocab topic page</t>
        </is>
      </c>
      <c r="C16" s="157" t="inlineStr">
        <is>
          <t>Admin logged in</t>
        </is>
      </c>
      <c r="D16" s="161" t="inlineStr">
        <is>
          <t>Open vocab section</t>
        </is>
      </c>
      <c r="E16" s="161" t="inlineStr">
        <is>
          <t>Topic list, create/edit form, publish toggles, word and exercise tabs</t>
        </is>
      </c>
      <c r="F16" s="157" t="inlineStr">
        <is>
          <t>Passed</t>
        </is>
      </c>
      <c r="G16" s="156" t="n">
        <v>46127</v>
      </c>
      <c r="H16" s="157" t="inlineStr">
        <is>
          <t>Hoàng Văn Anh Nghĩa</t>
        </is>
      </c>
      <c r="I16" s="157" t="inlineStr">
        <is>
          <t>Passed</t>
        </is>
      </c>
      <c r="J16" s="156" t="n">
        <v>46134</v>
      </c>
      <c r="K16" s="157" t="inlineStr">
        <is>
          <t>Nguyễn Nhật Phát</t>
        </is>
      </c>
      <c r="L16" s="157" t="inlineStr">
        <is>
          <t>Passed</t>
        </is>
      </c>
      <c r="M16" s="156" t="n">
        <v>46141</v>
      </c>
      <c r="N16" s="157" t="inlineStr">
        <is>
          <t>Nguyễn Trần Tấn Phát</t>
        </is>
      </c>
      <c r="O16" s="157" t="n"/>
    </row>
    <row r="17" ht="54" customHeight="1" s="171">
      <c r="A17" s="157" t="inlineStr">
        <is>
          <t>ADM-GRAM-001</t>
        </is>
      </c>
      <c r="B17" s="157" t="inlineStr">
        <is>
          <t>List grammar points</t>
        </is>
      </c>
      <c r="C17" s="157" t="inlineStr">
        <is>
          <t>Admin authenticated, points exist</t>
        </is>
      </c>
      <c r="D17" s="161" t="inlineStr">
        <is>
          <t>GET `admin/grammar/points`</t>
        </is>
      </c>
      <c r="E17" s="161" t="inlineStr">
        <is>
          <t>200, point list with publish status</t>
        </is>
      </c>
      <c r="F17" s="157" t="inlineStr">
        <is>
          <t>Passed</t>
        </is>
      </c>
      <c r="G17" s="156" t="n">
        <v>46127</v>
      </c>
      <c r="H17" s="157" t="inlineStr">
        <is>
          <t>Nguyễn Nhật Phát</t>
        </is>
      </c>
      <c r="I17" s="157" t="inlineStr">
        <is>
          <t>Passed</t>
        </is>
      </c>
      <c r="J17" s="156" t="n">
        <v>46134</v>
      </c>
      <c r="K17" s="157" t="inlineStr">
        <is>
          <t>Nguyễn Trần Tấn Phát</t>
        </is>
      </c>
      <c r="L17" s="157" t="inlineStr">
        <is>
          <t>Passed</t>
        </is>
      </c>
      <c r="M17" s="156" t="n">
        <v>46141</v>
      </c>
      <c r="N17" s="157" t="inlineStr">
        <is>
          <t>Nguyễn Minh Khôi</t>
        </is>
      </c>
      <c r="O17" s="157" t="n"/>
    </row>
    <row r="18" ht="54" customHeight="1" s="171">
      <c r="A18" s="157" t="inlineStr">
        <is>
          <t>ADM-GRAM-002</t>
        </is>
      </c>
      <c r="B18" s="157" t="inlineStr">
        <is>
          <t>Create grammar point</t>
        </is>
      </c>
      <c r="C18" s="157" t="inlineStr">
        <is>
          <t>Admin authenticated</t>
        </is>
      </c>
      <c r="D18" s="161" t="inlineStr">
        <is>
          <t>POST `admin/grammar/points`</t>
        </is>
      </c>
      <c r="E18" s="161" t="inlineStr">
        <is>
          <t>201, point created as draft</t>
        </is>
      </c>
      <c r="F18" s="157" t="inlineStr">
        <is>
          <t>Passed</t>
        </is>
      </c>
      <c r="G18" s="156" t="n">
        <v>46127</v>
      </c>
      <c r="H18" s="157" t="inlineStr">
        <is>
          <t>Nguyễn Trần Tấn Phát</t>
        </is>
      </c>
      <c r="I18" s="157" t="inlineStr">
        <is>
          <t>Passed</t>
        </is>
      </c>
      <c r="J18" s="156" t="n">
        <v>46134</v>
      </c>
      <c r="K18" s="157" t="inlineStr">
        <is>
          <t>Nguyễn Minh Khôi</t>
        </is>
      </c>
      <c r="L18" s="157" t="inlineStr">
        <is>
          <t>Passed</t>
        </is>
      </c>
      <c r="M18" s="156" t="n">
        <v>46141</v>
      </c>
      <c r="N18" s="157" t="inlineStr">
        <is>
          <t>Hoàng Văn Anh Nghĩa</t>
        </is>
      </c>
      <c r="O18" s="157" t="n"/>
    </row>
    <row r="19" ht="54" customHeight="1" s="171">
      <c r="A19" s="157" t="inlineStr">
        <is>
          <t>ADM-GRAM-004</t>
        </is>
      </c>
      <c r="B19" s="157" t="inlineStr">
        <is>
          <t>Publish grammar point</t>
        </is>
      </c>
      <c r="C19" s="157" t="inlineStr">
        <is>
          <t>Draft point with content</t>
        </is>
      </c>
      <c r="D19" s="161" t="inlineStr">
        <is>
          <t>POST `admin/grammar/points/{id}/publish`</t>
        </is>
      </c>
      <c r="E19" s="161" t="inlineStr">
        <is>
          <t>200, point published</t>
        </is>
      </c>
      <c r="F19" s="157" t="inlineStr">
        <is>
          <t>Passed</t>
        </is>
      </c>
      <c r="G19" s="156" t="n">
        <v>46127</v>
      </c>
      <c r="H19" s="157" t="inlineStr">
        <is>
          <t>Nguyễn Minh Khôi</t>
        </is>
      </c>
      <c r="I19" s="157" t="inlineStr">
        <is>
          <t>Passed</t>
        </is>
      </c>
      <c r="J19" s="156" t="n">
        <v>46134</v>
      </c>
      <c r="K19" s="157" t="inlineStr">
        <is>
          <t>Hoàng Văn Anh Nghĩa</t>
        </is>
      </c>
      <c r="L19" s="157" t="inlineStr">
        <is>
          <t>Passed</t>
        </is>
      </c>
      <c r="M19" s="156" t="n">
        <v>46141</v>
      </c>
      <c r="N19" s="157" t="inlineStr">
        <is>
          <t>Nguyễn Nhật Phát</t>
        </is>
      </c>
      <c r="O19" s="157" t="n"/>
    </row>
    <row r="20" ht="54" customHeight="1" s="171">
      <c r="A20" s="157" t="inlineStr">
        <is>
          <t>ADM-GRAM-005</t>
        </is>
      </c>
      <c r="B20" s="157" t="inlineStr">
        <is>
          <t>Unpublish grammar point</t>
        </is>
      </c>
      <c r="C20" s="157" t="inlineStr">
        <is>
          <t>Published point</t>
        </is>
      </c>
      <c r="D20" s="161" t="inlineStr">
        <is>
          <t>POST `admin/grammar/points/{id}/unpublish`</t>
        </is>
      </c>
      <c r="E20" s="161" t="inlineStr">
        <is>
          <t>200, point hidden</t>
        </is>
      </c>
      <c r="F20" s="157" t="inlineStr">
        <is>
          <t>Passed</t>
        </is>
      </c>
      <c r="G20" s="156" t="n">
        <v>46127</v>
      </c>
      <c r="H20" s="157" t="inlineStr">
        <is>
          <t>Hoàng Văn Anh Nghĩa</t>
        </is>
      </c>
      <c r="I20" s="157" t="inlineStr">
        <is>
          <t>Passed</t>
        </is>
      </c>
      <c r="J20" s="156" t="n">
        <v>46134</v>
      </c>
      <c r="K20" s="157" t="inlineStr">
        <is>
          <t>Nguyễn Nhật Phát</t>
        </is>
      </c>
      <c r="L20" s="157" t="inlineStr">
        <is>
          <t>Passed</t>
        </is>
      </c>
      <c r="M20" s="156" t="n">
        <v>46141</v>
      </c>
      <c r="N20" s="157" t="inlineStr">
        <is>
          <t>Nguyễn Trần Tấn Phát</t>
        </is>
      </c>
      <c r="O20" s="157" t="n"/>
    </row>
    <row r="21" ht="54" customHeight="1" s="171">
      <c r="A21" s="157" t="inlineStr">
        <is>
          <t>ADM-GRAM-012</t>
        </is>
      </c>
      <c r="B21" s="157" t="inlineStr">
        <is>
          <t>Frontend admin grammar point form</t>
        </is>
      </c>
      <c r="C21" s="157" t="inlineStr">
        <is>
          <t>Admin logged in</t>
        </is>
      </c>
      <c r="D21" s="161" t="inlineStr">
        <is>
          <t>Open grammar point detail</t>
        </is>
      </c>
      <c r="E21" s="161" t="inlineStr">
        <is>
          <t>Structures, examples, mistakes, tips, exercises tabs with CRUD forms</t>
        </is>
      </c>
      <c r="F21" s="157" t="inlineStr">
        <is>
          <t>Passed</t>
        </is>
      </c>
      <c r="G21" s="156" t="n">
        <v>46127</v>
      </c>
      <c r="H21" s="157" t="inlineStr">
        <is>
          <t>Nguyễn Nhật Phát</t>
        </is>
      </c>
      <c r="I21" s="157" t="inlineStr">
        <is>
          <t>Passed</t>
        </is>
      </c>
      <c r="J21" s="156" t="n">
        <v>46134</v>
      </c>
      <c r="K21" s="157" t="inlineStr">
        <is>
          <t>Nguyễn Trần Tấn Phát</t>
        </is>
      </c>
      <c r="L21" s="157" t="inlineStr">
        <is>
          <t>Passed</t>
        </is>
      </c>
      <c r="M21" s="156" t="n">
        <v>46141</v>
      </c>
      <c r="N21" s="157" t="inlineStr">
        <is>
          <t>Nguyễn Minh Khôi</t>
        </is>
      </c>
      <c r="O21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Admin Settings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System config, update, role enforcement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Admin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ADM-CONFIG-001</t>
        </is>
      </c>
      <c r="B12" s="168" t="inlineStr">
        <is>
          <t>List system config</t>
        </is>
      </c>
      <c r="C12" s="168" t="inlineStr">
        <is>
          <t>Admin authenticated</t>
        </is>
      </c>
      <c r="D12" s="161" t="inlineStr">
        <is>
          <t>GET `admin/system-config`</t>
        </is>
      </c>
      <c r="E12" s="162" t="inlineStr">
        <is>
          <t>200, config key-value list</t>
        </is>
      </c>
      <c r="F12" s="157" t="inlineStr">
        <is>
          <t>Passed</t>
        </is>
      </c>
      <c r="G12" s="156" t="n">
        <v>46127</v>
      </c>
      <c r="H12" s="157" t="inlineStr">
        <is>
          <t>Nguyễn Nhật Phát</t>
        </is>
      </c>
      <c r="I12" s="157" t="inlineStr">
        <is>
          <t>Passed</t>
        </is>
      </c>
      <c r="J12" s="156" t="n">
        <v>46134</v>
      </c>
      <c r="K12" s="157" t="inlineStr">
        <is>
          <t>Nguyễn Trần Tấn Phát</t>
        </is>
      </c>
      <c r="L12" s="157" t="inlineStr">
        <is>
          <t>Passed</t>
        </is>
      </c>
      <c r="M12" s="156" t="n">
        <v>46141</v>
      </c>
      <c r="N12" s="157" t="inlineStr">
        <is>
          <t>Nguyễn Minh Khôi</t>
        </is>
      </c>
      <c r="O12" s="157" t="n"/>
    </row>
    <row r="13" ht="54" customHeight="1" s="171">
      <c r="A13" s="157" t="inlineStr">
        <is>
          <t>ADM-CONFIG-003</t>
        </is>
      </c>
      <c r="B13" s="157" t="inlineStr">
        <is>
          <t>Update system config</t>
        </is>
      </c>
      <c r="C13" s="157" t="inlineStr">
        <is>
          <t>Admin authenticated, valid value</t>
        </is>
      </c>
      <c r="D13" s="161" t="inlineStr">
        <is>
          <t>PATCH `admin/system-config/{key}` with valid value</t>
        </is>
      </c>
      <c r="E13" s="161" t="inlineStr">
        <is>
          <t>200, value updated</t>
        </is>
      </c>
      <c r="F13" s="157" t="inlineStr">
        <is>
          <t>Passed</t>
        </is>
      </c>
      <c r="G13" s="156" t="n">
        <v>46127</v>
      </c>
      <c r="H13" s="157" t="inlineStr">
        <is>
          <t>Nguyễn Trần Tấn Phát</t>
        </is>
      </c>
      <c r="I13" s="157" t="inlineStr">
        <is>
          <t>Passed</t>
        </is>
      </c>
      <c r="J13" s="156" t="n">
        <v>46134</v>
      </c>
      <c r="K13" s="157" t="inlineStr">
        <is>
          <t>Nguyễn Minh Khôi</t>
        </is>
      </c>
      <c r="L13" s="157" t="inlineStr">
        <is>
          <t>Passed</t>
        </is>
      </c>
      <c r="M13" s="156" t="n">
        <v>46141</v>
      </c>
      <c r="N13" s="157" t="inlineStr">
        <is>
          <t>Hoàng Văn Anh Nghĩa</t>
        </is>
      </c>
      <c r="O13" s="157" t="n"/>
    </row>
    <row r="14" ht="54" customHeight="1" s="171">
      <c r="A14" s="157" t="inlineStr">
        <is>
          <t>ADM-CONFIG-004</t>
        </is>
      </c>
      <c r="B14" s="157" t="inlineStr">
        <is>
          <t>System config admin-only (not staff)</t>
        </is>
      </c>
      <c r="C14" s="157" t="inlineStr">
        <is>
          <t>Staff user (not admin)</t>
        </is>
      </c>
      <c r="D14" s="161" t="inlineStr">
        <is>
          <t>GET `admin/system-config`</t>
        </is>
      </c>
      <c r="E14" s="161" t="inlineStr">
        <is>
          <t>403</t>
        </is>
      </c>
      <c r="F14" s="157" t="inlineStr">
        <is>
          <t>Passed</t>
        </is>
      </c>
      <c r="G14" s="156" t="n">
        <v>46127</v>
      </c>
      <c r="H14" s="157" t="inlineStr">
        <is>
          <t>Nguyễn Minh Khôi</t>
        </is>
      </c>
      <c r="I14" s="157" t="inlineStr">
        <is>
          <t>Passed</t>
        </is>
      </c>
      <c r="J14" s="156" t="n">
        <v>46134</v>
      </c>
      <c r="K14" s="157" t="inlineStr">
        <is>
          <t>Hoàng Văn Anh Nghĩa</t>
        </is>
      </c>
      <c r="L14" s="157" t="inlineStr">
        <is>
          <t>Passed</t>
        </is>
      </c>
      <c r="M14" s="156" t="n">
        <v>46141</v>
      </c>
      <c r="N14" s="157" t="inlineStr">
        <is>
          <t>Nguyễn Nhật Phát</t>
        </is>
      </c>
      <c r="O14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Admin Exam Mgmt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Exam CRUD, import, version, content editors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Admin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ADM-EXAM-001</t>
        </is>
      </c>
      <c r="B12" s="168" t="inlineStr">
        <is>
          <t>List all exams</t>
        </is>
      </c>
      <c r="C12" s="168" t="inlineStr">
        <is>
          <t>Admin authenticated</t>
        </is>
      </c>
      <c r="D12" s="161" t="inlineStr">
        <is>
          <t>GET `admin/exams`</t>
        </is>
      </c>
      <c r="E12" s="162" t="inlineStr">
        <is>
          <t>200, exam list with draft/published status</t>
        </is>
      </c>
      <c r="F12" s="157" t="inlineStr">
        <is>
          <t>Passed</t>
        </is>
      </c>
      <c r="G12" s="156" t="n">
        <v>46127</v>
      </c>
      <c r="H12" s="157" t="inlineStr">
        <is>
          <t>Nguyễn Trần Tấn Phát</t>
        </is>
      </c>
      <c r="I12" s="157" t="inlineStr">
        <is>
          <t>Passed</t>
        </is>
      </c>
      <c r="J12" s="156" t="n">
        <v>46134</v>
      </c>
      <c r="K12" s="157" t="inlineStr">
        <is>
          <t>Nguyễn Minh Khôi</t>
        </is>
      </c>
      <c r="L12" s="157" t="inlineStr">
        <is>
          <t>Passed</t>
        </is>
      </c>
      <c r="M12" s="156" t="n">
        <v>46141</v>
      </c>
      <c r="N12" s="157" t="inlineStr">
        <is>
          <t>Hoàng Văn Anh Nghĩa</t>
        </is>
      </c>
      <c r="O12" s="157" t="n"/>
    </row>
    <row r="13" ht="54" customHeight="1" s="171">
      <c r="A13" s="157" t="inlineStr">
        <is>
          <t>ADM-EXAM-002</t>
        </is>
      </c>
      <c r="B13" s="157" t="inlineStr">
        <is>
          <t>Create exam</t>
        </is>
      </c>
      <c r="C13" s="157" t="inlineStr">
        <is>
          <t>Admin authenticated</t>
        </is>
      </c>
      <c r="D13" s="161" t="inlineStr">
        <is>
          <t>POST `admin/exams` with title/slug/duration</t>
        </is>
      </c>
      <c r="E13" s="161" t="inlineStr">
        <is>
          <t>201, exam created as draft</t>
        </is>
      </c>
      <c r="F13" s="157" t="inlineStr">
        <is>
          <t>Passed</t>
        </is>
      </c>
      <c r="G13" s="156" t="n">
        <v>46127</v>
      </c>
      <c r="H13" s="157" t="inlineStr">
        <is>
          <t>Nguyễn Minh Khôi</t>
        </is>
      </c>
      <c r="I13" s="157" t="inlineStr">
        <is>
          <t>Passed</t>
        </is>
      </c>
      <c r="J13" s="156" t="n">
        <v>46134</v>
      </c>
      <c r="K13" s="157" t="inlineStr">
        <is>
          <t>Hoàng Văn Anh Nghĩa</t>
        </is>
      </c>
      <c r="L13" s="157" t="inlineStr">
        <is>
          <t>Passed</t>
        </is>
      </c>
      <c r="M13" s="156" t="n">
        <v>46141</v>
      </c>
      <c r="N13" s="157" t="inlineStr">
        <is>
          <t>Nguyễn Nhật Phát</t>
        </is>
      </c>
      <c r="O13" s="157" t="n"/>
    </row>
    <row r="14" ht="54" customHeight="1" s="171">
      <c r="A14" s="157" t="inlineStr">
        <is>
          <t>ADM-EXAM-003</t>
        </is>
      </c>
      <c r="B14" s="157" t="inlineStr">
        <is>
          <t>Update exam</t>
        </is>
      </c>
      <c r="C14" s="157" t="inlineStr">
        <is>
          <t>Exam exists</t>
        </is>
      </c>
      <c r="D14" s="161" t="inlineStr">
        <is>
          <t>PATCH `admin/exams/{id}`</t>
        </is>
      </c>
      <c r="E14" s="161" t="inlineStr">
        <is>
          <t>200, exam updated</t>
        </is>
      </c>
      <c r="F14" s="157" t="inlineStr">
        <is>
          <t>Passed</t>
        </is>
      </c>
      <c r="G14" s="156" t="n">
        <v>46127</v>
      </c>
      <c r="H14" s="157" t="inlineStr">
        <is>
          <t>Hoàng Văn Anh Nghĩa</t>
        </is>
      </c>
      <c r="I14" s="157" t="inlineStr">
        <is>
          <t>Passed</t>
        </is>
      </c>
      <c r="J14" s="156" t="n">
        <v>46134</v>
      </c>
      <c r="K14" s="157" t="inlineStr">
        <is>
          <t>Nguyễn Nhật Phát</t>
        </is>
      </c>
      <c r="L14" s="157" t="inlineStr">
        <is>
          <t>Passed</t>
        </is>
      </c>
      <c r="M14" s="156" t="n">
        <v>46141</v>
      </c>
      <c r="N14" s="157" t="inlineStr">
        <is>
          <t>Nguyễn Trần Tấn Phát</t>
        </is>
      </c>
      <c r="O14" s="157" t="n"/>
    </row>
    <row r="15" ht="54" customHeight="1" s="171">
      <c r="A15" s="157" t="inlineStr">
        <is>
          <t>ADM-EXAM-004</t>
        </is>
      </c>
      <c r="B15" s="157" t="inlineStr">
        <is>
          <t>Publish exam</t>
        </is>
      </c>
      <c r="C15" s="157" t="inlineStr">
        <is>
          <t>Draft exam with complete version and content</t>
        </is>
      </c>
      <c r="D15" s="161" t="inlineStr">
        <is>
          <t>POST `admin/exams/{id}/publish`</t>
        </is>
      </c>
      <c r="E15" s="161" t="inlineStr">
        <is>
          <t>200, exam visible to learners</t>
        </is>
      </c>
      <c r="F15" s="157" t="inlineStr">
        <is>
          <t>Passed</t>
        </is>
      </c>
      <c r="G15" s="156" t="n">
        <v>46127</v>
      </c>
      <c r="H15" s="157" t="inlineStr">
        <is>
          <t>Nguyễn Nhật Phát</t>
        </is>
      </c>
      <c r="I15" s="157" t="inlineStr">
        <is>
          <t>Passed</t>
        </is>
      </c>
      <c r="J15" s="156" t="n">
        <v>46134</v>
      </c>
      <c r="K15" s="157" t="inlineStr">
        <is>
          <t>Nguyễn Trần Tấn Phát</t>
        </is>
      </c>
      <c r="L15" s="157" t="inlineStr">
        <is>
          <t>Passed</t>
        </is>
      </c>
      <c r="M15" s="156" t="n">
        <v>46141</v>
      </c>
      <c r="N15" s="157" t="inlineStr">
        <is>
          <t>Nguyễn Minh Khôi</t>
        </is>
      </c>
      <c r="O15" s="157" t="n"/>
    </row>
    <row r="16" ht="54" customHeight="1" s="171">
      <c r="A16" s="157" t="inlineStr">
        <is>
          <t>ADM-EXAM-005</t>
        </is>
      </c>
      <c r="B16" s="157" t="inlineStr">
        <is>
          <t>Unpublish exam</t>
        </is>
      </c>
      <c r="C16" s="157" t="inlineStr">
        <is>
          <t>Published exam</t>
        </is>
      </c>
      <c r="D16" s="161" t="inlineStr">
        <is>
          <t>POST `admin/exams/{id}/unpublish`</t>
        </is>
      </c>
      <c r="E16" s="161" t="inlineStr">
        <is>
          <t>200, exam hidden</t>
        </is>
      </c>
      <c r="F16" s="157" t="inlineStr">
        <is>
          <t>Passed</t>
        </is>
      </c>
      <c r="G16" s="156" t="n">
        <v>46127</v>
      </c>
      <c r="H16" s="157" t="inlineStr">
        <is>
          <t>Nguyễn Trần Tấn Phát</t>
        </is>
      </c>
      <c r="I16" s="157" t="inlineStr">
        <is>
          <t>Passed</t>
        </is>
      </c>
      <c r="J16" s="156" t="n">
        <v>46134</v>
      </c>
      <c r="K16" s="157" t="inlineStr">
        <is>
          <t>Nguyễn Minh Khôi</t>
        </is>
      </c>
      <c r="L16" s="157" t="inlineStr">
        <is>
          <t>Passed</t>
        </is>
      </c>
      <c r="M16" s="156" t="n">
        <v>46141</v>
      </c>
      <c r="N16" s="157" t="inlineStr">
        <is>
          <t>Hoàng Văn Anh Nghĩa</t>
        </is>
      </c>
      <c r="O16" s="157" t="n"/>
    </row>
    <row r="17" ht="54" customHeight="1" s="171">
      <c r="A17" s="157" t="inlineStr">
        <is>
          <t>ADM-EXAM-007</t>
        </is>
      </c>
      <c r="B17" s="157" t="inlineStr">
        <is>
          <t>Import exam</t>
        </is>
      </c>
      <c r="C17" s="157" t="inlineStr">
        <is>
          <t>Valid import payload</t>
        </is>
      </c>
      <c r="D17" s="161" t="inlineStr">
        <is>
          <t>POST `admin/exams/import`</t>
        </is>
      </c>
      <c r="E17" s="161" t="inlineStr">
        <is>
          <t>201, exam created from import</t>
        </is>
      </c>
      <c r="F17" s="157" t="inlineStr">
        <is>
          <t>Passed</t>
        </is>
      </c>
      <c r="G17" s="156" t="n">
        <v>46127</v>
      </c>
      <c r="H17" s="157" t="inlineStr">
        <is>
          <t>Nguyễn Minh Khôi</t>
        </is>
      </c>
      <c r="I17" s="157" t="inlineStr">
        <is>
          <t>Passed</t>
        </is>
      </c>
      <c r="J17" s="156" t="n">
        <v>46134</v>
      </c>
      <c r="K17" s="157" t="inlineStr">
        <is>
          <t>Hoàng Văn Anh Nghĩa</t>
        </is>
      </c>
      <c r="L17" s="157" t="inlineStr">
        <is>
          <t>Passed</t>
        </is>
      </c>
      <c r="M17" s="156" t="n">
        <v>46141</v>
      </c>
      <c r="N17" s="157" t="inlineStr">
        <is>
          <t>Nguyễn Nhật Phát</t>
        </is>
      </c>
      <c r="O17" s="157" t="n"/>
    </row>
    <row r="18" ht="54" customHeight="1" s="171">
      <c r="A18" s="157" t="inlineStr">
        <is>
          <t>ADM-EXAM-008</t>
        </is>
      </c>
      <c r="B18" s="157" t="inlineStr">
        <is>
          <t>Frontend admin exam list</t>
        </is>
      </c>
      <c r="C18" s="157" t="inlineStr">
        <is>
          <t>Admin logged in</t>
        </is>
      </c>
      <c r="D18" s="161" t="inlineStr">
        <is>
          <t>Open exams section</t>
        </is>
      </c>
      <c r="E18" s="161" t="inlineStr">
        <is>
          <t>Exam list, version selector, publish actions</t>
        </is>
      </c>
      <c r="F18" s="157" t="inlineStr">
        <is>
          <t>Passed</t>
        </is>
      </c>
      <c r="G18" s="156" t="n">
        <v>46127</v>
      </c>
      <c r="H18" s="157" t="inlineStr">
        <is>
          <t>Hoàng Văn Anh Nghĩa</t>
        </is>
      </c>
      <c r="I18" s="157" t="inlineStr">
        <is>
          <t>Passed</t>
        </is>
      </c>
      <c r="J18" s="156" t="n">
        <v>46134</v>
      </c>
      <c r="K18" s="157" t="inlineStr">
        <is>
          <t>Nguyễn Nhật Phát</t>
        </is>
      </c>
      <c r="L18" s="157" t="inlineStr">
        <is>
          <t>Passed</t>
        </is>
      </c>
      <c r="M18" s="156" t="n">
        <v>46141</v>
      </c>
      <c r="N18" s="157" t="inlineStr">
        <is>
          <t>Nguyễn Trần Tấn Phát</t>
        </is>
      </c>
      <c r="O18" s="157" t="n"/>
    </row>
    <row r="19" ht="54" customHeight="1" s="171">
      <c r="A19" s="157" t="inlineStr">
        <is>
          <t>ADM-EXAM-VER-001</t>
        </is>
      </c>
      <c r="B19" s="157" t="inlineStr">
        <is>
          <t>List exam versions</t>
        </is>
      </c>
      <c r="C19" s="157" t="inlineStr">
        <is>
          <t>Exam has versions</t>
        </is>
      </c>
      <c r="D19" s="161" t="inlineStr">
        <is>
          <t>GET `admin/exams/{examId}/versions`</t>
        </is>
      </c>
      <c r="E19" s="161" t="inlineStr">
        <is>
          <t>200, version list</t>
        </is>
      </c>
      <c r="F19" s="157" t="inlineStr">
        <is>
          <t>Passed</t>
        </is>
      </c>
      <c r="G19" s="156" t="n">
        <v>46127</v>
      </c>
      <c r="H19" s="157" t="inlineStr">
        <is>
          <t>Nguyễn Nhật Phát</t>
        </is>
      </c>
      <c r="I19" s="157" t="inlineStr">
        <is>
          <t>Passed</t>
        </is>
      </c>
      <c r="J19" s="156" t="n">
        <v>46134</v>
      </c>
      <c r="K19" s="157" t="inlineStr">
        <is>
          <t>Nguyễn Trần Tấn Phát</t>
        </is>
      </c>
      <c r="L19" s="157" t="inlineStr">
        <is>
          <t>Passed</t>
        </is>
      </c>
      <c r="M19" s="156" t="n">
        <v>46141</v>
      </c>
      <c r="N19" s="157" t="inlineStr">
        <is>
          <t>Nguyễn Minh Khôi</t>
        </is>
      </c>
      <c r="O19" s="157" t="n"/>
    </row>
    <row r="20" ht="54" customHeight="1" s="171">
      <c r="A20" s="157" t="inlineStr">
        <is>
          <t>ADM-EXAM-VER-003</t>
        </is>
      </c>
      <c r="B20" s="157" t="inlineStr">
        <is>
          <t>Activate exam version</t>
        </is>
      </c>
      <c r="C20" s="157" t="inlineStr">
        <is>
          <t>Multiple versions</t>
        </is>
      </c>
      <c r="D20" s="161" t="inlineStr">
        <is>
          <t>POST activate</t>
        </is>
      </c>
      <c r="E20" s="161" t="inlineStr">
        <is>
          <t>Active version becomes the visible one</t>
        </is>
      </c>
      <c r="F20" s="157" t="inlineStr">
        <is>
          <t>Passed</t>
        </is>
      </c>
      <c r="G20" s="156" t="n">
        <v>46127</v>
      </c>
      <c r="H20" s="157" t="inlineStr">
        <is>
          <t>Nguyễn Trần Tấn Phát</t>
        </is>
      </c>
      <c r="I20" s="157" t="inlineStr">
        <is>
          <t>Passed</t>
        </is>
      </c>
      <c r="J20" s="156" t="n">
        <v>46134</v>
      </c>
      <c r="K20" s="157" t="inlineStr">
        <is>
          <t>Nguyễn Minh Khôi</t>
        </is>
      </c>
      <c r="L20" s="157" t="inlineStr">
        <is>
          <t>Passed</t>
        </is>
      </c>
      <c r="M20" s="156" t="n">
        <v>46141</v>
      </c>
      <c r="N20" s="157" t="inlineStr">
        <is>
          <t>Hoàng Văn Anh Nghĩa</t>
        </is>
      </c>
      <c r="O20" s="157" t="n"/>
    </row>
    <row r="21" ht="54" customHeight="1" s="171">
      <c r="A21" s="157" t="inlineStr">
        <is>
          <t>ADM-EXAM-VER-005</t>
        </is>
      </c>
      <c r="B21" s="157" t="inlineStr">
        <is>
          <t>Frontend version selector</t>
        </is>
      </c>
      <c r="C21" s="157" t="inlineStr">
        <is>
          <t>Multiple versions</t>
        </is>
      </c>
      <c r="D21" s="161" t="inlineStr">
        <is>
          <t>Open exam, switch</t>
        </is>
      </c>
      <c r="E21" s="161" t="inlineStr">
        <is>
          <t>Active version highlighted</t>
        </is>
      </c>
      <c r="F21" s="157" t="inlineStr">
        <is>
          <t>Passed</t>
        </is>
      </c>
      <c r="G21" s="156" t="n">
        <v>46127</v>
      </c>
      <c r="H21" s="157" t="inlineStr">
        <is>
          <t>Nguyễn Minh Khôi</t>
        </is>
      </c>
      <c r="I21" s="157" t="inlineStr">
        <is>
          <t>Passed</t>
        </is>
      </c>
      <c r="J21" s="156" t="n">
        <v>46134</v>
      </c>
      <c r="K21" s="157" t="inlineStr">
        <is>
          <t>Hoàng Văn Anh Nghĩa</t>
        </is>
      </c>
      <c r="L21" s="157" t="inlineStr">
        <is>
          <t>Passed</t>
        </is>
      </c>
      <c r="M21" s="156" t="n">
        <v>46141</v>
      </c>
      <c r="N21" s="157" t="inlineStr">
        <is>
          <t>Nguyễn Nhật Phát</t>
        </is>
      </c>
      <c r="O21" s="157" t="n"/>
    </row>
    <row r="22" ht="54" customHeight="1" s="171">
      <c r="A22" s="157" t="inlineStr">
        <is>
          <t>ADM-EXAM-CON-001</t>
        </is>
      </c>
      <c r="B22" s="157" t="inlineStr">
        <is>
          <t>Create listening section with items</t>
        </is>
      </c>
      <c r="C22" s="157" t="inlineStr">
        <is>
          <t>Version exists</t>
        </is>
      </c>
      <c r="D22" s="161" t="inlineStr">
        <is>
          <t>POST listening section + items</t>
        </is>
      </c>
      <c r="E22" s="161" t="inlineStr">
        <is>
          <t>201, content created</t>
        </is>
      </c>
      <c r="F22" s="157" t="inlineStr">
        <is>
          <t>Passed</t>
        </is>
      </c>
      <c r="G22" s="156" t="n">
        <v>46127</v>
      </c>
      <c r="H22" s="157" t="inlineStr">
        <is>
          <t>Hoàng Văn Anh Nghĩa</t>
        </is>
      </c>
      <c r="I22" s="157" t="inlineStr">
        <is>
          <t>Passed</t>
        </is>
      </c>
      <c r="J22" s="156" t="n">
        <v>46134</v>
      </c>
      <c r="K22" s="157" t="inlineStr">
        <is>
          <t>Nguyễn Nhật Phát</t>
        </is>
      </c>
      <c r="L22" s="157" t="inlineStr">
        <is>
          <t>Passed</t>
        </is>
      </c>
      <c r="M22" s="156" t="n">
        <v>46141</v>
      </c>
      <c r="N22" s="157" t="inlineStr">
        <is>
          <t>Nguyễn Trần Tấn Phát</t>
        </is>
      </c>
      <c r="O22" s="157" t="n"/>
    </row>
    <row r="23" ht="54" customHeight="1" s="171">
      <c r="A23" s="157" t="inlineStr">
        <is>
          <t>ADM-EXAM-CON-003</t>
        </is>
      </c>
      <c r="B23" s="157" t="inlineStr">
        <is>
          <t>Create reading passage with items</t>
        </is>
      </c>
      <c r="C23" s="157" t="inlineStr">
        <is>
          <t>Version exists</t>
        </is>
      </c>
      <c r="D23" s="161" t="inlineStr">
        <is>
          <t>POST reading passage + items</t>
        </is>
      </c>
      <c r="E23" s="161" t="inlineStr">
        <is>
          <t>201, content created</t>
        </is>
      </c>
      <c r="F23" s="157" t="inlineStr">
        <is>
          <t>Passed</t>
        </is>
      </c>
      <c r="G23" s="156" t="n">
        <v>46127</v>
      </c>
      <c r="H23" s="157" t="inlineStr">
        <is>
          <t>Nguyễn Nhật Phát</t>
        </is>
      </c>
      <c r="I23" s="157" t="inlineStr">
        <is>
          <t>Passed</t>
        </is>
      </c>
      <c r="J23" s="156" t="n">
        <v>46134</v>
      </c>
      <c r="K23" s="157" t="inlineStr">
        <is>
          <t>Nguyễn Trần Tấn Phát</t>
        </is>
      </c>
      <c r="L23" s="157" t="inlineStr">
        <is>
          <t>Passed</t>
        </is>
      </c>
      <c r="M23" s="156" t="n">
        <v>46141</v>
      </c>
      <c r="N23" s="157" t="inlineStr">
        <is>
          <t>Nguyễn Minh Khôi</t>
        </is>
      </c>
      <c r="O23" s="157" t="n"/>
    </row>
    <row r="24" ht="54" customHeight="1" s="171">
      <c r="A24" s="157" t="inlineStr">
        <is>
          <t>ADM-EXAM-CON-004</t>
        </is>
      </c>
      <c r="B24" s="157" t="inlineStr">
        <is>
          <t>Create writing task</t>
        </is>
      </c>
      <c r="C24" s="157" t="inlineStr">
        <is>
          <t>Version exists</t>
        </is>
      </c>
      <c r="D24" s="161" t="inlineStr">
        <is>
          <t>POST task with type/min_words/prompt</t>
        </is>
      </c>
      <c r="E24" s="161" t="inlineStr">
        <is>
          <t>201</t>
        </is>
      </c>
      <c r="F24" s="157" t="inlineStr">
        <is>
          <t>Passed</t>
        </is>
      </c>
      <c r="G24" s="156" t="n">
        <v>46127</v>
      </c>
      <c r="H24" s="157" t="inlineStr">
        <is>
          <t>Nguyễn Trần Tấn Phát</t>
        </is>
      </c>
      <c r="I24" s="157" t="inlineStr">
        <is>
          <t>Passed</t>
        </is>
      </c>
      <c r="J24" s="156" t="n">
        <v>46134</v>
      </c>
      <c r="K24" s="157" t="inlineStr">
        <is>
          <t>Nguyễn Minh Khôi</t>
        </is>
      </c>
      <c r="L24" s="157" t="inlineStr">
        <is>
          <t>Passed</t>
        </is>
      </c>
      <c r="M24" s="156" t="n">
        <v>46141</v>
      </c>
      <c r="N24" s="157" t="inlineStr">
        <is>
          <t>Hoàng Văn Anh Nghĩa</t>
        </is>
      </c>
      <c r="O24" s="157" t="n"/>
    </row>
    <row r="25" ht="54" customHeight="1" s="171">
      <c r="A25" s="157" t="inlineStr">
        <is>
          <t>ADM-EXAM-CON-005</t>
        </is>
      </c>
      <c r="B25" s="157" t="inlineStr">
        <is>
          <t>Create speaking part</t>
        </is>
      </c>
      <c r="C25" s="157" t="inlineStr">
        <is>
          <t>Version exists</t>
        </is>
      </c>
      <c r="D25" s="161" t="inlineStr">
        <is>
          <t>POST part with prompt/duration</t>
        </is>
      </c>
      <c r="E25" s="161" t="inlineStr">
        <is>
          <t>201</t>
        </is>
      </c>
      <c r="F25" s="157" t="inlineStr">
        <is>
          <t>Passed</t>
        </is>
      </c>
      <c r="G25" s="156" t="n">
        <v>46127</v>
      </c>
      <c r="H25" s="157" t="inlineStr">
        <is>
          <t>Nguyễn Minh Khôi</t>
        </is>
      </c>
      <c r="I25" s="157" t="inlineStr">
        <is>
          <t>Passed</t>
        </is>
      </c>
      <c r="J25" s="156" t="n">
        <v>46134</v>
      </c>
      <c r="K25" s="157" t="inlineStr">
        <is>
          <t>Hoàng Văn Anh Nghĩa</t>
        </is>
      </c>
      <c r="L25" s="157" t="inlineStr">
        <is>
          <t>Passed</t>
        </is>
      </c>
      <c r="M25" s="156" t="n">
        <v>46141</v>
      </c>
      <c r="N25" s="157" t="inlineStr">
        <is>
          <t>Nguyễn Nhật Phát</t>
        </is>
      </c>
      <c r="O25" s="157" t="n"/>
    </row>
    <row r="26" ht="54" customHeight="1" s="171">
      <c r="A26" s="157" t="inlineStr">
        <is>
          <t>ADM-EXAM-CON-006</t>
        </is>
      </c>
      <c r="B26" s="157" t="inlineStr">
        <is>
          <t>Frontend exam content editors (4 tabs)</t>
        </is>
      </c>
      <c r="C26" s="157" t="inlineStr">
        <is>
          <t>Version selected</t>
        </is>
      </c>
      <c r="D26" s="161" t="inlineStr">
        <is>
          <t>Open Listening/Reading/Writing/Speaking tabs</t>
        </is>
      </c>
      <c r="E26" s="161" t="inlineStr">
        <is>
          <t>Forms render, content editable</t>
        </is>
      </c>
      <c r="F26" s="157" t="inlineStr">
        <is>
          <t>Passed</t>
        </is>
      </c>
      <c r="G26" s="156" t="n">
        <v>46127</v>
      </c>
      <c r="H26" s="157" t="inlineStr">
        <is>
          <t>Hoàng Văn Anh Nghĩa</t>
        </is>
      </c>
      <c r="I26" s="157" t="inlineStr">
        <is>
          <t>Passed</t>
        </is>
      </c>
      <c r="J26" s="156" t="n">
        <v>46134</v>
      </c>
      <c r="K26" s="157" t="inlineStr">
        <is>
          <t>Nguyễn Nhật Phát</t>
        </is>
      </c>
      <c r="L26" s="157" t="inlineStr">
        <is>
          <t>Passed</t>
        </is>
      </c>
      <c r="M26" s="156" t="n">
        <v>46141</v>
      </c>
      <c r="N26" s="157" t="inlineStr">
        <is>
          <t>Nguyễn Trần Tấn Phát</t>
        </is>
      </c>
      <c r="O26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Admin Practice Content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L/R/W/S exercise CRUD, editors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Admin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ADM-PRAC-LIS-002</t>
        </is>
      </c>
      <c r="B12" s="168" t="inlineStr">
        <is>
          <t>Create listening exercise</t>
        </is>
      </c>
      <c r="C12" s="168" t="inlineStr">
        <is>
          <t>Admin authenticated</t>
        </is>
      </c>
      <c r="D12" s="161" t="inlineStr">
        <is>
          <t>POST with title/level/audio_url/transcript</t>
        </is>
      </c>
      <c r="E12" s="162" t="inlineStr">
        <is>
          <t>201</t>
        </is>
      </c>
      <c r="F12" s="157" t="inlineStr">
        <is>
          <t>Passed</t>
        </is>
      </c>
      <c r="G12" s="156" t="n">
        <v>46127</v>
      </c>
      <c r="H12" s="157" t="inlineStr">
        <is>
          <t>Nguyễn Minh Khôi</t>
        </is>
      </c>
      <c r="I12" s="157" t="inlineStr">
        <is>
          <t>Passed</t>
        </is>
      </c>
      <c r="J12" s="156" t="n">
        <v>46134</v>
      </c>
      <c r="K12" s="157" t="inlineStr">
        <is>
          <t>Hoàng Văn Anh Nghĩa</t>
        </is>
      </c>
      <c r="L12" s="157" t="inlineStr">
        <is>
          <t>Passed</t>
        </is>
      </c>
      <c r="M12" s="156" t="n">
        <v>46141</v>
      </c>
      <c r="N12" s="157" t="inlineStr">
        <is>
          <t>Nguyễn Nhật Phát</t>
        </is>
      </c>
      <c r="O12" s="157" t="n"/>
    </row>
    <row r="13" ht="54" customHeight="1" s="171">
      <c r="A13" s="157" t="inlineStr">
        <is>
          <t>ADM-PRAC-LIS-005</t>
        </is>
      </c>
      <c r="B13" s="157" t="inlineStr">
        <is>
          <t>Frontend listening exercise editor</t>
        </is>
      </c>
      <c r="C13" s="157" t="inlineStr">
        <is>
          <t>Admin logged in</t>
        </is>
      </c>
      <c r="D13" s="161" t="inlineStr">
        <is>
          <t>Open practice → listening</t>
        </is>
      </c>
      <c r="E13" s="161" t="inlineStr">
        <is>
          <t>Exercise list, form, questions tab</t>
        </is>
      </c>
      <c r="F13" s="157" t="inlineStr">
        <is>
          <t>Passed</t>
        </is>
      </c>
      <c r="G13" s="156" t="n">
        <v>46127</v>
      </c>
      <c r="H13" s="157" t="inlineStr">
        <is>
          <t>Hoàng Văn Anh Nghĩa</t>
        </is>
      </c>
      <c r="I13" s="157" t="inlineStr">
        <is>
          <t>Passed</t>
        </is>
      </c>
      <c r="J13" s="156" t="n">
        <v>46134</v>
      </c>
      <c r="K13" s="157" t="inlineStr">
        <is>
          <t>Nguyễn Nhật Phát</t>
        </is>
      </c>
      <c r="L13" s="157" t="inlineStr">
        <is>
          <t>Passed</t>
        </is>
      </c>
      <c r="M13" s="156" t="n">
        <v>46141</v>
      </c>
      <c r="N13" s="157" t="inlineStr">
        <is>
          <t>Nguyễn Trần Tấn Phát</t>
        </is>
      </c>
      <c r="O13" s="157" t="n"/>
    </row>
    <row r="14" ht="54" customHeight="1" s="171">
      <c r="A14" s="157" t="inlineStr">
        <is>
          <t>ADM-PRAC-REA-002</t>
        </is>
      </c>
      <c r="B14" s="157" t="inlineStr">
        <is>
          <t>Create reading exercise</t>
        </is>
      </c>
      <c r="C14" s="157" t="inlineStr">
        <is>
          <t>Admin authenticated</t>
        </is>
      </c>
      <c r="D14" s="161" t="inlineStr">
        <is>
          <t>POST with title/level/passage</t>
        </is>
      </c>
      <c r="E14" s="161" t="inlineStr">
        <is>
          <t>201</t>
        </is>
      </c>
      <c r="F14" s="157" t="inlineStr">
        <is>
          <t>Passed</t>
        </is>
      </c>
      <c r="G14" s="156" t="n">
        <v>46127</v>
      </c>
      <c r="H14" s="157" t="inlineStr">
        <is>
          <t>Nguyễn Nhật Phát</t>
        </is>
      </c>
      <c r="I14" s="157" t="inlineStr">
        <is>
          <t>Passed</t>
        </is>
      </c>
      <c r="J14" s="156" t="n">
        <v>46134</v>
      </c>
      <c r="K14" s="157" t="inlineStr">
        <is>
          <t>Nguyễn Trần Tấn Phát</t>
        </is>
      </c>
      <c r="L14" s="157" t="inlineStr">
        <is>
          <t>Passed</t>
        </is>
      </c>
      <c r="M14" s="156" t="n">
        <v>46141</v>
      </c>
      <c r="N14" s="157" t="inlineStr">
        <is>
          <t>Nguyễn Minh Khôi</t>
        </is>
      </c>
      <c r="O14" s="157" t="n"/>
    </row>
    <row r="15" ht="54" customHeight="1" s="171">
      <c r="A15" s="157" t="inlineStr">
        <is>
          <t>ADM-PRAC-REA-004</t>
        </is>
      </c>
      <c r="B15" s="157" t="inlineStr">
        <is>
          <t>Frontend reading exercise editor</t>
        </is>
      </c>
      <c r="C15" s="157" t="inlineStr">
        <is>
          <t>Admin logged in</t>
        </is>
      </c>
      <c r="D15" s="161" t="inlineStr">
        <is>
          <t>Open practice → reading</t>
        </is>
      </c>
      <c r="E15" s="161" t="inlineStr">
        <is>
          <t>Exercise form, questions tab</t>
        </is>
      </c>
      <c r="F15" s="157" t="inlineStr">
        <is>
          <t>Passed</t>
        </is>
      </c>
      <c r="G15" s="156" t="n">
        <v>46127</v>
      </c>
      <c r="H15" s="157" t="inlineStr">
        <is>
          <t>Nguyễn Trần Tấn Phát</t>
        </is>
      </c>
      <c r="I15" s="157" t="inlineStr">
        <is>
          <t>Passed</t>
        </is>
      </c>
      <c r="J15" s="156" t="n">
        <v>46134</v>
      </c>
      <c r="K15" s="157" t="inlineStr">
        <is>
          <t>Nguyễn Minh Khôi</t>
        </is>
      </c>
      <c r="L15" s="157" t="inlineStr">
        <is>
          <t>Passed</t>
        </is>
      </c>
      <c r="M15" s="156" t="n">
        <v>46141</v>
      </c>
      <c r="N15" s="157" t="inlineStr">
        <is>
          <t>Hoàng Văn Anh Nghĩa</t>
        </is>
      </c>
      <c r="O15" s="157" t="n"/>
    </row>
    <row r="16" ht="54" customHeight="1" s="171">
      <c r="A16" s="157" t="inlineStr">
        <is>
          <t>ADM-PRAC-WRI-002</t>
        </is>
      </c>
      <c r="B16" s="157" t="inlineStr">
        <is>
          <t>Create writing prompt</t>
        </is>
      </c>
      <c r="C16" s="157" t="inlineStr">
        <is>
          <t>Admin authenticated</t>
        </is>
      </c>
      <c r="D16" s="161" t="inlineStr">
        <is>
          <t>POST with title/level/task_type/min_words</t>
        </is>
      </c>
      <c r="E16" s="161" t="inlineStr">
        <is>
          <t>201</t>
        </is>
      </c>
      <c r="F16" s="157" t="inlineStr">
        <is>
          <t>Passed</t>
        </is>
      </c>
      <c r="G16" s="156" t="n">
        <v>46127</v>
      </c>
      <c r="H16" s="157" t="inlineStr">
        <is>
          <t>Nguyễn Minh Khôi</t>
        </is>
      </c>
      <c r="I16" s="157" t="inlineStr">
        <is>
          <t>Passed</t>
        </is>
      </c>
      <c r="J16" s="156" t="n">
        <v>46134</v>
      </c>
      <c r="K16" s="157" t="inlineStr">
        <is>
          <t>Hoàng Văn Anh Nghĩa</t>
        </is>
      </c>
      <c r="L16" s="157" t="inlineStr">
        <is>
          <t>Passed</t>
        </is>
      </c>
      <c r="M16" s="156" t="n">
        <v>46141</v>
      </c>
      <c r="N16" s="157" t="inlineStr">
        <is>
          <t>Nguyễn Nhật Phát</t>
        </is>
      </c>
      <c r="O16" s="157" t="n"/>
    </row>
    <row r="17" ht="54" customHeight="1" s="171">
      <c r="A17" s="157" t="inlineStr">
        <is>
          <t>ADM-PRAC-WRI-004</t>
        </is>
      </c>
      <c r="B17" s="157" t="inlineStr">
        <is>
          <t>Frontend writing prompt editor</t>
        </is>
      </c>
      <c r="C17" s="157" t="inlineStr">
        <is>
          <t>Admin logged in</t>
        </is>
      </c>
      <c r="D17" s="161" t="inlineStr">
        <is>
          <t>Open practice → writing</t>
        </is>
      </c>
      <c r="E17" s="161" t="inlineStr">
        <is>
          <t>Prompt form, markers tab</t>
        </is>
      </c>
      <c r="F17" s="157" t="inlineStr">
        <is>
          <t>Passed</t>
        </is>
      </c>
      <c r="G17" s="156" t="n">
        <v>46127</v>
      </c>
      <c r="H17" s="157" t="inlineStr">
        <is>
          <t>Hoàng Văn Anh Nghĩa</t>
        </is>
      </c>
      <c r="I17" s="157" t="inlineStr">
        <is>
          <t>Passed</t>
        </is>
      </c>
      <c r="J17" s="156" t="n">
        <v>46134</v>
      </c>
      <c r="K17" s="157" t="inlineStr">
        <is>
          <t>Nguyễn Nhật Phát</t>
        </is>
      </c>
      <c r="L17" s="157" t="inlineStr">
        <is>
          <t>Passed</t>
        </is>
      </c>
      <c r="M17" s="156" t="n">
        <v>46141</v>
      </c>
      <c r="N17" s="157" t="inlineStr">
        <is>
          <t>Nguyễn Trần Tấn Phát</t>
        </is>
      </c>
      <c r="O17" s="157" t="n"/>
    </row>
    <row r="18" ht="54" customHeight="1" s="171">
      <c r="A18" s="157" t="inlineStr">
        <is>
          <t>ADM-PRAC-SPK-004</t>
        </is>
      </c>
      <c r="B18" s="157" t="inlineStr">
        <is>
          <t>Create speaking VSTEP task</t>
        </is>
      </c>
      <c r="C18" s="157" t="inlineStr">
        <is>
          <t>Admin authenticated</t>
        </is>
      </c>
      <c r="D18" s="161" t="inlineStr">
        <is>
          <t>POST with title/level/part/prompt/duration</t>
        </is>
      </c>
      <c r="E18" s="161" t="inlineStr">
        <is>
          <t>201</t>
        </is>
      </c>
      <c r="F18" s="157" t="inlineStr">
        <is>
          <t>Passed</t>
        </is>
      </c>
      <c r="G18" s="156" t="n">
        <v>46127</v>
      </c>
      <c r="H18" s="157" t="inlineStr">
        <is>
          <t>Nguyễn Nhật Phát</t>
        </is>
      </c>
      <c r="I18" s="157" t="inlineStr">
        <is>
          <t>Passed</t>
        </is>
      </c>
      <c r="J18" s="156" t="n">
        <v>46134</v>
      </c>
      <c r="K18" s="157" t="inlineStr">
        <is>
          <t>Nguyễn Trần Tấn Phát</t>
        </is>
      </c>
      <c r="L18" s="157" t="inlineStr">
        <is>
          <t>Passed</t>
        </is>
      </c>
      <c r="M18" s="156" t="n">
        <v>46141</v>
      </c>
      <c r="N18" s="157" t="inlineStr">
        <is>
          <t>Nguyễn Minh Khôi</t>
        </is>
      </c>
      <c r="O18" s="157" t="n"/>
    </row>
    <row r="19" ht="54" customHeight="1" s="171">
      <c r="A19" s="157" t="inlineStr">
        <is>
          <t>ADM-PRAC-SPK-008</t>
        </is>
      </c>
      <c r="B19" s="157" t="inlineStr">
        <is>
          <t>Frontend speaking scenario editor</t>
        </is>
      </c>
      <c r="C19" s="157" t="inlineStr">
        <is>
          <t>Admin logged in</t>
        </is>
      </c>
      <c r="D19" s="161" t="inlineStr">
        <is>
          <t>Open practice → speaking scenarios</t>
        </is>
      </c>
      <c r="E19" s="161" t="inlineStr">
        <is>
          <t>Form, publish toggle</t>
        </is>
      </c>
      <c r="F19" s="157" t="inlineStr">
        <is>
          <t>Passed</t>
        </is>
      </c>
      <c r="G19" s="156" t="n">
        <v>46127</v>
      </c>
      <c r="H19" s="157" t="inlineStr">
        <is>
          <t>Nguyễn Trần Tấn Phát</t>
        </is>
      </c>
      <c r="I19" s="157" t="inlineStr">
        <is>
          <t>Passed</t>
        </is>
      </c>
      <c r="J19" s="156" t="n">
        <v>46134</v>
      </c>
      <c r="K19" s="157" t="inlineStr">
        <is>
          <t>Nguyễn Minh Khôi</t>
        </is>
      </c>
      <c r="L19" s="157" t="inlineStr">
        <is>
          <t>Passed</t>
        </is>
      </c>
      <c r="M19" s="156" t="n">
        <v>46141</v>
      </c>
      <c r="N19" s="157" t="inlineStr">
        <is>
          <t>Hoàng Văn Anh Nghĩa</t>
        </is>
      </c>
      <c r="O19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Admin User Mgmt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User CRUD, deactivate, role enforcement, frontend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Admin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ADM-USR-001</t>
        </is>
      </c>
      <c r="B12" s="168" t="inlineStr">
        <is>
          <t>List users</t>
        </is>
      </c>
      <c r="C12" s="168" t="inlineStr">
        <is>
          <t>Admin authenticated</t>
        </is>
      </c>
      <c r="D12" s="161" t="inlineStr">
        <is>
          <t>GET `admin/users`</t>
        </is>
      </c>
      <c r="E12" s="162" t="inlineStr">
        <is>
          <t>200, user list with roles, searchable</t>
        </is>
      </c>
      <c r="F12" s="157" t="inlineStr">
        <is>
          <t>Passed</t>
        </is>
      </c>
      <c r="G12" s="156" t="n">
        <v>46127</v>
      </c>
      <c r="H12" s="157" t="inlineStr">
        <is>
          <t>Hoàng Văn Anh Nghĩa</t>
        </is>
      </c>
      <c r="I12" s="157" t="inlineStr">
        <is>
          <t>Passed</t>
        </is>
      </c>
      <c r="J12" s="156" t="n">
        <v>46134</v>
      </c>
      <c r="K12" s="157" t="inlineStr">
        <is>
          <t>Nguyễn Nhật Phát</t>
        </is>
      </c>
      <c r="L12" s="157" t="inlineStr">
        <is>
          <t>Passed</t>
        </is>
      </c>
      <c r="M12" s="156" t="n">
        <v>46141</v>
      </c>
      <c r="N12" s="157" t="inlineStr">
        <is>
          <t>Nguyễn Trần Tấn Phát</t>
        </is>
      </c>
      <c r="O12" s="157" t="n"/>
    </row>
    <row r="13" ht="54" customHeight="1" s="171">
      <c r="A13" s="157" t="inlineStr">
        <is>
          <t>ADM-USR-002</t>
        </is>
      </c>
      <c r="B13" s="157" t="inlineStr">
        <is>
          <t>Create user with role</t>
        </is>
      </c>
      <c r="C13" s="157" t="inlineStr">
        <is>
          <t>Admin authenticated</t>
        </is>
      </c>
      <c r="D13" s="161" t="inlineStr">
        <is>
          <t>POST `admin/users` with email/name/password/role</t>
        </is>
      </c>
      <c r="E13" s="161" t="inlineStr">
        <is>
          <t>201, user created</t>
        </is>
      </c>
      <c r="F13" s="157" t="inlineStr">
        <is>
          <t>Passed</t>
        </is>
      </c>
      <c r="G13" s="156" t="n">
        <v>46127</v>
      </c>
      <c r="H13" s="157" t="inlineStr">
        <is>
          <t>Nguyễn Nhật Phát</t>
        </is>
      </c>
      <c r="I13" s="157" t="inlineStr">
        <is>
          <t>Passed</t>
        </is>
      </c>
      <c r="J13" s="156" t="n">
        <v>46134</v>
      </c>
      <c r="K13" s="157" t="inlineStr">
        <is>
          <t>Nguyễn Trần Tấn Phát</t>
        </is>
      </c>
      <c r="L13" s="157" t="inlineStr">
        <is>
          <t>Passed</t>
        </is>
      </c>
      <c r="M13" s="156" t="n">
        <v>46141</v>
      </c>
      <c r="N13" s="157" t="inlineStr">
        <is>
          <t>Nguyễn Minh Khôi</t>
        </is>
      </c>
      <c r="O13" s="157" t="n"/>
    </row>
    <row r="14" ht="54" customHeight="1" s="171">
      <c r="A14" s="157" t="inlineStr">
        <is>
          <t>ADM-USR-004</t>
        </is>
      </c>
      <c r="B14" s="157" t="inlineStr">
        <is>
          <t>Deactivate user</t>
        </is>
      </c>
      <c r="C14" s="157" t="inlineStr">
        <is>
          <t>Active user</t>
        </is>
      </c>
      <c r="D14" s="161" t="inlineStr">
        <is>
          <t>POST `admin/users/{id}/deactivate`</t>
        </is>
      </c>
      <c r="E14" s="161" t="inlineStr">
        <is>
          <t>200, user cannot login</t>
        </is>
      </c>
      <c r="F14" s="157" t="inlineStr">
        <is>
          <t>Passed</t>
        </is>
      </c>
      <c r="G14" s="156" t="n">
        <v>46127</v>
      </c>
      <c r="H14" s="157" t="inlineStr">
        <is>
          <t>Nguyễn Trần Tấn Phát</t>
        </is>
      </c>
      <c r="I14" s="157" t="inlineStr">
        <is>
          <t>Passed</t>
        </is>
      </c>
      <c r="J14" s="156" t="n">
        <v>46134</v>
      </c>
      <c r="K14" s="157" t="inlineStr">
        <is>
          <t>Nguyễn Minh Khôi</t>
        </is>
      </c>
      <c r="L14" s="157" t="inlineStr">
        <is>
          <t>Passed</t>
        </is>
      </c>
      <c r="M14" s="156" t="n">
        <v>46141</v>
      </c>
      <c r="N14" s="157" t="inlineStr">
        <is>
          <t>Hoàng Văn Anh Nghĩa</t>
        </is>
      </c>
      <c r="O14" s="157" t="n"/>
    </row>
    <row r="15" ht="54" customHeight="1" s="171">
      <c r="A15" s="157" t="inlineStr">
        <is>
          <t>ADM-USR-010</t>
        </is>
      </c>
      <c r="B15" s="157" t="inlineStr">
        <is>
          <t>User management is admin-only</t>
        </is>
      </c>
      <c r="C15" s="157" t="inlineStr">
        <is>
          <t>Staff user (not admin)</t>
        </is>
      </c>
      <c r="D15" s="161" t="inlineStr">
        <is>
          <t>Access admin user routes</t>
        </is>
      </c>
      <c r="E15" s="161" t="inlineStr">
        <is>
          <t>403</t>
        </is>
      </c>
      <c r="F15" s="157" t="inlineStr">
        <is>
          <t>Passed</t>
        </is>
      </c>
      <c r="G15" s="156" t="n">
        <v>46127</v>
      </c>
      <c r="H15" s="157" t="inlineStr">
        <is>
          <t>Nguyễn Minh Khôi</t>
        </is>
      </c>
      <c r="I15" s="157" t="inlineStr">
        <is>
          <t>Passed</t>
        </is>
      </c>
      <c r="J15" s="156" t="n">
        <v>46134</v>
      </c>
      <c r="K15" s="157" t="inlineStr">
        <is>
          <t>Hoàng Văn Anh Nghĩa</t>
        </is>
      </c>
      <c r="L15" s="157" t="inlineStr">
        <is>
          <t>Passed</t>
        </is>
      </c>
      <c r="M15" s="156" t="n">
        <v>46141</v>
      </c>
      <c r="N15" s="157" t="inlineStr">
        <is>
          <t>Nguyễn Nhật Phát</t>
        </is>
      </c>
      <c r="O15" s="157" t="n"/>
    </row>
    <row r="16" ht="54" customHeight="1" s="171">
      <c r="A16" s="157" t="inlineStr">
        <is>
          <t>ADM-USR-011</t>
        </is>
      </c>
      <c r="B16" s="157" t="inlineStr">
        <is>
          <t>Frontend user management page</t>
        </is>
      </c>
      <c r="C16" s="157" t="inlineStr">
        <is>
          <t>Admin logged in</t>
        </is>
      </c>
      <c r="D16" s="161" t="inlineStr">
        <is>
          <t>Open users page</t>
        </is>
      </c>
      <c r="E16" s="161" t="inlineStr">
        <is>
          <t>User table, create/edit form, role selector, deactivate actions</t>
        </is>
      </c>
      <c r="F16" s="157" t="inlineStr">
        <is>
          <t>Passed</t>
        </is>
      </c>
      <c r="G16" s="156" t="n">
        <v>46127</v>
      </c>
      <c r="H16" s="157" t="inlineStr">
        <is>
          <t>Hoàng Văn Anh Nghĩa</t>
        </is>
      </c>
      <c r="I16" s="157" t="inlineStr">
        <is>
          <t>Passed</t>
        </is>
      </c>
      <c r="J16" s="156" t="n">
        <v>46134</v>
      </c>
      <c r="K16" s="157" t="inlineStr">
        <is>
          <t>Nguyễn Nhật Phát</t>
        </is>
      </c>
      <c r="L16" s="157" t="inlineStr">
        <is>
          <t>Passed</t>
        </is>
      </c>
      <c r="M16" s="156" t="n">
        <v>46141</v>
      </c>
      <c r="N16" s="157" t="inlineStr">
        <is>
          <t>Nguyễn Trần Tấn Phát</t>
        </is>
      </c>
      <c r="O16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Admin Course &amp; Promo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Course CRUD, enrollments, bookings, promo, top-up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Admin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ADM-CRS-002</t>
        </is>
      </c>
      <c r="B12" s="168" t="inlineStr">
        <is>
          <t>Create course</t>
        </is>
      </c>
      <c r="C12" s="168" t="inlineStr">
        <is>
          <t>Admin authenticated</t>
        </is>
      </c>
      <c r="D12" s="161" t="inlineStr">
        <is>
          <t>POST `admin/courses` with title/teacher/price/dates</t>
        </is>
      </c>
      <c r="E12" s="162" t="inlineStr">
        <is>
          <t>201</t>
        </is>
      </c>
      <c r="F12" s="157" t="inlineStr">
        <is>
          <t>Passed</t>
        </is>
      </c>
      <c r="G12" s="156" t="n">
        <v>46127</v>
      </c>
      <c r="H12" s="157" t="inlineStr">
        <is>
          <t>Nguyễn Nhật Phát</t>
        </is>
      </c>
      <c r="I12" s="157" t="inlineStr">
        <is>
          <t>Passed</t>
        </is>
      </c>
      <c r="J12" s="156" t="n">
        <v>46134</v>
      </c>
      <c r="K12" s="157" t="inlineStr">
        <is>
          <t>Nguyễn Trần Tấn Phát</t>
        </is>
      </c>
      <c r="L12" s="157" t="inlineStr">
        <is>
          <t>Passed</t>
        </is>
      </c>
      <c r="M12" s="156" t="n">
        <v>46141</v>
      </c>
      <c r="N12" s="157" t="inlineStr">
        <is>
          <t>Nguyễn Minh Khôi</t>
        </is>
      </c>
      <c r="O12" s="157" t="n"/>
    </row>
    <row r="13" ht="54" customHeight="1" s="171">
      <c r="A13" s="157" t="inlineStr">
        <is>
          <t>ADM-CRS-004</t>
        </is>
      </c>
      <c r="B13" s="157" t="inlineStr">
        <is>
          <t>Publish/unpublish course</t>
        </is>
      </c>
      <c r="C13" s="157" t="inlineStr">
        <is>
          <t>Course exists</t>
        </is>
      </c>
      <c r="D13" s="161" t="inlineStr">
        <is>
          <t>POST publish/unpublish</t>
        </is>
      </c>
      <c r="E13" s="161" t="inlineStr">
        <is>
          <t>Status changes</t>
        </is>
      </c>
      <c r="F13" s="157" t="inlineStr">
        <is>
          <t>Passed</t>
        </is>
      </c>
      <c r="G13" s="156" t="n">
        <v>46127</v>
      </c>
      <c r="H13" s="157" t="inlineStr">
        <is>
          <t>Nguyễn Trần Tấn Phát</t>
        </is>
      </c>
      <c r="I13" s="157" t="inlineStr">
        <is>
          <t>Passed</t>
        </is>
      </c>
      <c r="J13" s="156" t="n">
        <v>46134</v>
      </c>
      <c r="K13" s="157" t="inlineStr">
        <is>
          <t>Nguyễn Minh Khôi</t>
        </is>
      </c>
      <c r="L13" s="157" t="inlineStr">
        <is>
          <t>Passed</t>
        </is>
      </c>
      <c r="M13" s="156" t="n">
        <v>46141</v>
      </c>
      <c r="N13" s="157" t="inlineStr">
        <is>
          <t>Hoàng Văn Anh Nghĩa</t>
        </is>
      </c>
      <c r="O13" s="157" t="n"/>
    </row>
    <row r="14" ht="54" customHeight="1" s="171">
      <c r="A14" s="157" t="inlineStr">
        <is>
          <t>ADM-CRS-006</t>
        </is>
      </c>
      <c r="B14" s="157" t="inlineStr">
        <is>
          <t>Manage enrollments</t>
        </is>
      </c>
      <c r="C14" s="157" t="inlineStr">
        <is>
          <t>Course exists</t>
        </is>
      </c>
      <c r="D14" s="161" t="inlineStr">
        <is>
          <t>GET/POST/DELETE enrollments</t>
        </is>
      </c>
      <c r="E14" s="161" t="inlineStr">
        <is>
          <t>Learners added/removed, commitment overridable</t>
        </is>
      </c>
      <c r="F14" s="157" t="inlineStr">
        <is>
          <t>Passed</t>
        </is>
      </c>
      <c r="G14" s="156" t="n">
        <v>46127</v>
      </c>
      <c r="H14" s="157" t="inlineStr">
        <is>
          <t>Nguyễn Minh Khôi</t>
        </is>
      </c>
      <c r="I14" s="157" t="inlineStr">
        <is>
          <t>Passed</t>
        </is>
      </c>
      <c r="J14" s="156" t="n">
        <v>46134</v>
      </c>
      <c r="K14" s="157" t="inlineStr">
        <is>
          <t>Hoàng Văn Anh Nghĩa</t>
        </is>
      </c>
      <c r="L14" s="157" t="inlineStr">
        <is>
          <t>Passed</t>
        </is>
      </c>
      <c r="M14" s="156" t="n">
        <v>46141</v>
      </c>
      <c r="N14" s="157" t="inlineStr">
        <is>
          <t>Nguyễn Nhật Phát</t>
        </is>
      </c>
      <c r="O14" s="157" t="n"/>
    </row>
    <row r="15" ht="54" customHeight="1" s="171">
      <c r="A15" s="157" t="inlineStr">
        <is>
          <t>ADM-CRS-008</t>
        </is>
      </c>
      <c r="B15" s="157" t="inlineStr">
        <is>
          <t>Manage bookings (meet_url + cancel/refund)</t>
        </is>
      </c>
      <c r="C15" s="157" t="inlineStr">
        <is>
          <t>Bookings exist</t>
        </is>
      </c>
      <c r="D15" s="161" t="inlineStr">
        <is>
          <t>PATCH meet_url, POST cancel with refund</t>
        </is>
      </c>
      <c r="E15" s="161" t="inlineStr">
        <is>
          <t>Refund processed</t>
        </is>
      </c>
      <c r="F15" s="157" t="inlineStr">
        <is>
          <t>Passed</t>
        </is>
      </c>
      <c r="G15" s="156" t="n">
        <v>46127</v>
      </c>
      <c r="H15" s="157" t="inlineStr">
        <is>
          <t>Hoàng Văn Anh Nghĩa</t>
        </is>
      </c>
      <c r="I15" s="157" t="inlineStr">
        <is>
          <t>Passed</t>
        </is>
      </c>
      <c r="J15" s="156" t="n">
        <v>46134</v>
      </c>
      <c r="K15" s="157" t="inlineStr">
        <is>
          <t>Nguyễn Nhật Phát</t>
        </is>
      </c>
      <c r="L15" s="157" t="inlineStr">
        <is>
          <t>Passed</t>
        </is>
      </c>
      <c r="M15" s="156" t="n">
        <v>46141</v>
      </c>
      <c r="N15" s="157" t="inlineStr">
        <is>
          <t>Nguyễn Trần Tấn Phát</t>
        </is>
      </c>
      <c r="O15" s="157" t="n"/>
    </row>
    <row r="16" ht="54" customHeight="1" s="171">
      <c r="A16" s="157" t="inlineStr">
        <is>
          <t>ADM-CRS-009</t>
        </is>
      </c>
      <c r="B16" s="157" t="inlineStr">
        <is>
          <t>Frontend course detail with tabs</t>
        </is>
      </c>
      <c r="C16" s="157" t="inlineStr">
        <is>
          <t>Admin logged in</t>
        </is>
      </c>
      <c r="D16" s="161" t="inlineStr">
        <is>
          <t>Open course detail</t>
        </is>
      </c>
      <c r="E16" s="161" t="inlineStr">
        <is>
          <t>Schedule items, enrollments, slots, bookings tabs</t>
        </is>
      </c>
      <c r="F16" s="157" t="inlineStr">
        <is>
          <t>Passed</t>
        </is>
      </c>
      <c r="G16" s="156" t="n">
        <v>46127</v>
      </c>
      <c r="H16" s="157" t="inlineStr">
        <is>
          <t>Nguyễn Nhật Phát</t>
        </is>
      </c>
      <c r="I16" s="157" t="inlineStr">
        <is>
          <t>Passed</t>
        </is>
      </c>
      <c r="J16" s="156" t="n">
        <v>46134</v>
      </c>
      <c r="K16" s="157" t="inlineStr">
        <is>
          <t>Nguyễn Trần Tấn Phát</t>
        </is>
      </c>
      <c r="L16" s="157" t="inlineStr">
        <is>
          <t>Passed</t>
        </is>
      </c>
      <c r="M16" s="156" t="n">
        <v>46141</v>
      </c>
      <c r="N16" s="157" t="inlineStr">
        <is>
          <t>Nguyễn Minh Khôi</t>
        </is>
      </c>
      <c r="O16" s="157" t="n"/>
    </row>
    <row r="17" ht="54" customHeight="1" s="171">
      <c r="A17" s="157" t="inlineStr">
        <is>
          <t>ADM-PROMO-001</t>
        </is>
      </c>
      <c r="B17" s="157" t="inlineStr">
        <is>
          <t>List promo codes</t>
        </is>
      </c>
      <c r="C17" s="157" t="inlineStr">
        <is>
          <t>Admin authenticated</t>
        </is>
      </c>
      <c r="D17" s="161" t="inlineStr">
        <is>
          <t>GET `admin/promo-codes`</t>
        </is>
      </c>
      <c r="E17" s="161" t="inlineStr">
        <is>
          <t>200, promo list with usage/status</t>
        </is>
      </c>
      <c r="F17" s="157" t="inlineStr">
        <is>
          <t>Passed</t>
        </is>
      </c>
      <c r="G17" s="156" t="n">
        <v>46127</v>
      </c>
      <c r="H17" s="157" t="inlineStr">
        <is>
          <t>Nguyễn Trần Tấn Phát</t>
        </is>
      </c>
      <c r="I17" s="157" t="inlineStr">
        <is>
          <t>Passed</t>
        </is>
      </c>
      <c r="J17" s="156" t="n">
        <v>46134</v>
      </c>
      <c r="K17" s="157" t="inlineStr">
        <is>
          <t>Nguyễn Minh Khôi</t>
        </is>
      </c>
      <c r="L17" s="157" t="inlineStr">
        <is>
          <t>Passed</t>
        </is>
      </c>
      <c r="M17" s="156" t="n">
        <v>46141</v>
      </c>
      <c r="N17" s="157" t="inlineStr">
        <is>
          <t>Hoàng Văn Anh Nghĩa</t>
        </is>
      </c>
      <c r="O17" s="157" t="n"/>
    </row>
    <row r="18" ht="54" customHeight="1" s="171">
      <c r="A18" s="157" t="inlineStr">
        <is>
          <t>ADM-PROMO-002</t>
        </is>
      </c>
      <c r="B18" s="157" t="inlineStr">
        <is>
          <t>Create promo code</t>
        </is>
      </c>
      <c r="C18" s="157" t="inlineStr">
        <is>
          <t>Admin authenticated</t>
        </is>
      </c>
      <c r="D18" s="161" t="inlineStr">
        <is>
          <t>POST with code/coins/valid_until/usage_limit</t>
        </is>
      </c>
      <c r="E18" s="161" t="inlineStr">
        <is>
          <t>201</t>
        </is>
      </c>
      <c r="F18" s="157" t="inlineStr">
        <is>
          <t>Passed</t>
        </is>
      </c>
      <c r="G18" s="156" t="n">
        <v>46127</v>
      </c>
      <c r="H18" s="157" t="inlineStr">
        <is>
          <t>Nguyễn Minh Khôi</t>
        </is>
      </c>
      <c r="I18" s="157" t="inlineStr">
        <is>
          <t>Passed</t>
        </is>
      </c>
      <c r="J18" s="156" t="n">
        <v>46134</v>
      </c>
      <c r="K18" s="157" t="inlineStr">
        <is>
          <t>Hoàng Văn Anh Nghĩa</t>
        </is>
      </c>
      <c r="L18" s="157" t="inlineStr">
        <is>
          <t>Passed</t>
        </is>
      </c>
      <c r="M18" s="156" t="n">
        <v>46141</v>
      </c>
      <c r="N18" s="157" t="inlineStr">
        <is>
          <t>Nguyễn Nhật Phát</t>
        </is>
      </c>
      <c r="O18" s="157" t="n"/>
    </row>
    <row r="19" ht="54" customHeight="1" s="171">
      <c r="A19" s="157" t="inlineStr">
        <is>
          <t>ADM-PROMO-005</t>
        </is>
      </c>
      <c r="B19" s="157" t="inlineStr">
        <is>
          <t>Frontend promo code page</t>
        </is>
      </c>
      <c r="C19" s="157" t="inlineStr">
        <is>
          <t>Admin logged in</t>
        </is>
      </c>
      <c r="D19" s="161" t="inlineStr">
        <is>
          <t>Open promo section</t>
        </is>
      </c>
      <c r="E19" s="161" t="inlineStr">
        <is>
          <t>Promo list, create/edit form</t>
        </is>
      </c>
      <c r="F19" s="157" t="inlineStr">
        <is>
          <t>Passed</t>
        </is>
      </c>
      <c r="G19" s="156" t="n">
        <v>46127</v>
      </c>
      <c r="H19" s="157" t="inlineStr">
        <is>
          <t>Hoàng Văn Anh Nghĩa</t>
        </is>
      </c>
      <c r="I19" s="157" t="inlineStr">
        <is>
          <t>Passed</t>
        </is>
      </c>
      <c r="J19" s="156" t="n">
        <v>46134</v>
      </c>
      <c r="K19" s="157" t="inlineStr">
        <is>
          <t>Nguyễn Nhật Phát</t>
        </is>
      </c>
      <c r="L19" s="157" t="inlineStr">
        <is>
          <t>Passed</t>
        </is>
      </c>
      <c r="M19" s="156" t="n">
        <v>46141</v>
      </c>
      <c r="N19" s="157" t="inlineStr">
        <is>
          <t>Nguyễn Trần Tấn Phát</t>
        </is>
      </c>
      <c r="O19" s="157" t="n"/>
    </row>
    <row r="20" ht="54" customHeight="1" s="171">
      <c r="A20" s="157" t="inlineStr">
        <is>
          <t>ADM-TOPUP-001</t>
        </is>
      </c>
      <c r="B20" s="157" t="inlineStr">
        <is>
          <t>List top-up packages</t>
        </is>
      </c>
      <c r="C20" s="157" t="inlineStr">
        <is>
          <t>Admin authenticated</t>
        </is>
      </c>
      <c r="D20" s="161" t="inlineStr">
        <is>
          <t>GET `admin/topup-packages`</t>
        </is>
      </c>
      <c r="E20" s="161" t="inlineStr">
        <is>
          <t>200, package list with status</t>
        </is>
      </c>
      <c r="F20" s="157" t="inlineStr">
        <is>
          <t>Passed</t>
        </is>
      </c>
      <c r="G20" s="156" t="n">
        <v>46127</v>
      </c>
      <c r="H20" s="157" t="inlineStr">
        <is>
          <t>Nguyễn Nhật Phát</t>
        </is>
      </c>
      <c r="I20" s="157" t="inlineStr">
        <is>
          <t>Passed</t>
        </is>
      </c>
      <c r="J20" s="156" t="n">
        <v>46134</v>
      </c>
      <c r="K20" s="157" t="inlineStr">
        <is>
          <t>Nguyễn Trần Tấn Phát</t>
        </is>
      </c>
      <c r="L20" s="157" t="inlineStr">
        <is>
          <t>Passed</t>
        </is>
      </c>
      <c r="M20" s="156" t="n">
        <v>46141</v>
      </c>
      <c r="N20" s="157" t="inlineStr">
        <is>
          <t>Nguyễn Minh Khôi</t>
        </is>
      </c>
      <c r="O20" s="157" t="n"/>
    </row>
    <row r="21" ht="54" customHeight="1" s="171">
      <c r="A21" s="157" t="inlineStr">
        <is>
          <t>ADM-TOPUP-002</t>
        </is>
      </c>
      <c r="B21" s="157" t="inlineStr">
        <is>
          <t>Create top-up package</t>
        </is>
      </c>
      <c r="C21" s="157" t="inlineStr">
        <is>
          <t>Admin authenticated</t>
        </is>
      </c>
      <c r="D21" s="161" t="inlineStr">
        <is>
          <t>POST with label/price/coins/bonus/order</t>
        </is>
      </c>
      <c r="E21" s="161" t="inlineStr">
        <is>
          <t>201</t>
        </is>
      </c>
      <c r="F21" s="157" t="inlineStr">
        <is>
          <t>Passed</t>
        </is>
      </c>
      <c r="G21" s="156" t="n">
        <v>46127</v>
      </c>
      <c r="H21" s="157" t="inlineStr">
        <is>
          <t>Nguyễn Trần Tấn Phát</t>
        </is>
      </c>
      <c r="I21" s="157" t="inlineStr">
        <is>
          <t>Passed</t>
        </is>
      </c>
      <c r="J21" s="156" t="n">
        <v>46134</v>
      </c>
      <c r="K21" s="157" t="inlineStr">
        <is>
          <t>Nguyễn Minh Khôi</t>
        </is>
      </c>
      <c r="L21" s="157" t="inlineStr">
        <is>
          <t>Passed</t>
        </is>
      </c>
      <c r="M21" s="156" t="n">
        <v>46141</v>
      </c>
      <c r="N21" s="157" t="inlineStr">
        <is>
          <t>Hoàng Văn Anh Nghĩa</t>
        </is>
      </c>
      <c r="O21" s="157" t="n"/>
    </row>
    <row r="22" ht="54" customHeight="1" s="171">
      <c r="A22" s="157" t="inlineStr">
        <is>
          <t>ADM-TOPUP-005</t>
        </is>
      </c>
      <c r="B22" s="157" t="inlineStr">
        <is>
          <t>Frontend top-up packages page</t>
        </is>
      </c>
      <c r="C22" s="157" t="inlineStr">
        <is>
          <t>Admin logged in</t>
        </is>
      </c>
      <c r="D22" s="161" t="inlineStr">
        <is>
          <t>Open top-up packages</t>
        </is>
      </c>
      <c r="E22" s="161" t="inlineStr">
        <is>
          <t>List, create/edit form, activate/deactivate</t>
        </is>
      </c>
      <c r="F22" s="157" t="inlineStr">
        <is>
          <t>Passed</t>
        </is>
      </c>
      <c r="G22" s="156" t="n">
        <v>46127</v>
      </c>
      <c r="H22" s="157" t="inlineStr">
        <is>
          <t>Nguyễn Minh Khôi</t>
        </is>
      </c>
      <c r="I22" s="157" t="inlineStr">
        <is>
          <t>Passed</t>
        </is>
      </c>
      <c r="J22" s="156" t="n">
        <v>46134</v>
      </c>
      <c r="K22" s="157" t="inlineStr">
        <is>
          <t>Hoàng Văn Anh Nghĩa</t>
        </is>
      </c>
      <c r="L22" s="157" t="inlineStr">
        <is>
          <t>Passed</t>
        </is>
      </c>
      <c r="M22" s="156" t="n">
        <v>46141</v>
      </c>
      <c r="N22" s="157" t="inlineStr">
        <is>
          <t>Nguyễn Nhật Phát</t>
        </is>
      </c>
      <c r="O22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Teacher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Dashboard, schedule, bookings, leave requests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Teacher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TCH-DASH-001</t>
        </is>
      </c>
      <c r="B12" s="168" t="inlineStr">
        <is>
          <t>Teacher dashboard returns stats</t>
        </is>
      </c>
      <c r="C12" s="168" t="inlineStr">
        <is>
          <t>Teacher authenticated with assigned courses</t>
        </is>
      </c>
      <c r="D12" s="161" t="inlineStr">
        <is>
          <t>GET `teacher/dashboard`</t>
        </is>
      </c>
      <c r="E12" s="162" t="inlineStr">
        <is>
          <t>200, dashboard data with course stats</t>
        </is>
      </c>
      <c r="F12" s="157" t="inlineStr">
        <is>
          <t>Passed</t>
        </is>
      </c>
      <c r="G12" s="156" t="n">
        <v>46127</v>
      </c>
      <c r="H12" s="157" t="inlineStr">
        <is>
          <t>Nguyễn Trần Tấn Phát</t>
        </is>
      </c>
      <c r="I12" s="157" t="inlineStr">
        <is>
          <t>Passed</t>
        </is>
      </c>
      <c r="J12" s="156" t="n">
        <v>46134</v>
      </c>
      <c r="K12" s="157" t="inlineStr">
        <is>
          <t>Nguyễn Minh Khôi</t>
        </is>
      </c>
      <c r="L12" s="157" t="inlineStr">
        <is>
          <t>Passed</t>
        </is>
      </c>
      <c r="M12" s="156" t="n">
        <v>46141</v>
      </c>
      <c r="N12" s="157" t="inlineStr">
        <is>
          <t>Hoàng Văn Anh Nghĩa</t>
        </is>
      </c>
      <c r="O12" s="157" t="n"/>
    </row>
    <row r="13" ht="54" customHeight="1" s="171">
      <c r="A13" s="157" t="inlineStr">
        <is>
          <t>TCH-DASH-002</t>
        </is>
      </c>
      <c r="B13" s="157" t="inlineStr">
        <is>
          <t>Teacher cannot access admin-only routes</t>
        </is>
      </c>
      <c r="C13" s="157" t="inlineStr">
        <is>
          <t>Teacher role (not admin)</t>
        </is>
      </c>
      <c r="D13" s="161" t="inlineStr">
        <is>
          <t>GET `admin/system-config`</t>
        </is>
      </c>
      <c r="E13" s="161" t="inlineStr">
        <is>
          <t>403</t>
        </is>
      </c>
      <c r="F13" s="157" t="inlineStr">
        <is>
          <t>Passed</t>
        </is>
      </c>
      <c r="G13" s="156" t="n">
        <v>46127</v>
      </c>
      <c r="H13" s="157" t="inlineStr">
        <is>
          <t>Nguyễn Minh Khôi</t>
        </is>
      </c>
      <c r="I13" s="157" t="inlineStr">
        <is>
          <t>Passed</t>
        </is>
      </c>
      <c r="J13" s="156" t="n">
        <v>46134</v>
      </c>
      <c r="K13" s="157" t="inlineStr">
        <is>
          <t>Hoàng Văn Anh Nghĩa</t>
        </is>
      </c>
      <c r="L13" s="157" t="inlineStr">
        <is>
          <t>Passed</t>
        </is>
      </c>
      <c r="M13" s="156" t="n">
        <v>46141</v>
      </c>
      <c r="N13" s="157" t="inlineStr">
        <is>
          <t>Nguyễn Nhật Phát</t>
        </is>
      </c>
      <c r="O13" s="157" t="n"/>
    </row>
    <row r="14" ht="54" customHeight="1" s="171">
      <c r="A14" s="157" t="inlineStr">
        <is>
          <t>TCH-SCH-001</t>
        </is>
      </c>
      <c r="B14" s="157" t="inlineStr">
        <is>
          <t>List schedule items</t>
        </is>
      </c>
      <c r="C14" s="157" t="inlineStr">
        <is>
          <t>Teacher authenticated, courses assigned</t>
        </is>
      </c>
      <c r="D14" s="161" t="inlineStr">
        <is>
          <t>GET `teacher/schedule-items`</t>
        </is>
      </c>
      <c r="E14" s="161" t="inlineStr">
        <is>
          <t>200, schedule list with course/date/time</t>
        </is>
      </c>
      <c r="F14" s="157" t="inlineStr">
        <is>
          <t>Passed</t>
        </is>
      </c>
      <c r="G14" s="156" t="n">
        <v>46127</v>
      </c>
      <c r="H14" s="157" t="inlineStr">
        <is>
          <t>Hoàng Văn Anh Nghĩa</t>
        </is>
      </c>
      <c r="I14" s="157" t="inlineStr">
        <is>
          <t>Passed</t>
        </is>
      </c>
      <c r="J14" s="156" t="n">
        <v>46134</v>
      </c>
      <c r="K14" s="157" t="inlineStr">
        <is>
          <t>Nguyễn Nhật Phát</t>
        </is>
      </c>
      <c r="L14" s="157" t="inlineStr">
        <is>
          <t>Passed</t>
        </is>
      </c>
      <c r="M14" s="156" t="n">
        <v>46141</v>
      </c>
      <c r="N14" s="157" t="inlineStr">
        <is>
          <t>Nguyễn Trần Tấn Phát</t>
        </is>
      </c>
      <c r="O14" s="157" t="n"/>
    </row>
    <row r="15" ht="54" customHeight="1" s="171">
      <c r="A15" s="157" t="inlineStr">
        <is>
          <t>TCH-SCH-002</t>
        </is>
      </c>
      <c r="B15" s="157" t="inlineStr">
        <is>
          <t>Frontend teacher schedule calendar</t>
        </is>
      </c>
      <c r="C15" s="157" t="inlineStr">
        <is>
          <t>Teacher logged in</t>
        </is>
      </c>
      <c r="D15" s="161" t="inlineStr">
        <is>
          <t>Open teacher schedule page</t>
        </is>
      </c>
      <c r="E15" s="161" t="inlineStr">
        <is>
          <t>Calendar with DayCell, EventCard, EventDetailModal</t>
        </is>
      </c>
      <c r="F15" s="157" t="inlineStr">
        <is>
          <t>Passed</t>
        </is>
      </c>
      <c r="G15" s="156" t="n">
        <v>46127</v>
      </c>
      <c r="H15" s="157" t="inlineStr">
        <is>
          <t>Nguyễn Nhật Phát</t>
        </is>
      </c>
      <c r="I15" s="157" t="inlineStr">
        <is>
          <t>Passed</t>
        </is>
      </c>
      <c r="J15" s="156" t="n">
        <v>46134</v>
      </c>
      <c r="K15" s="157" t="inlineStr">
        <is>
          <t>Nguyễn Trần Tấn Phát</t>
        </is>
      </c>
      <c r="L15" s="157" t="inlineStr">
        <is>
          <t>Passed</t>
        </is>
      </c>
      <c r="M15" s="156" t="n">
        <v>46141</v>
      </c>
      <c r="N15" s="157" t="inlineStr">
        <is>
          <t>Nguyễn Minh Khôi</t>
        </is>
      </c>
      <c r="O15" s="157" t="n"/>
    </row>
    <row r="16" ht="54" customHeight="1" s="171">
      <c r="A16" s="157" t="inlineStr">
        <is>
          <t>TCH-BK-001</t>
        </is>
      </c>
      <c r="B16" s="157" t="inlineStr">
        <is>
          <t>List teacher bookings</t>
        </is>
      </c>
      <c r="C16" s="157" t="inlineStr">
        <is>
          <t>Bookings exist</t>
        </is>
      </c>
      <c r="D16" s="161" t="inlineStr">
        <is>
          <t>GET `teacher/bookings`</t>
        </is>
      </c>
      <c r="E16" s="161" t="inlineStr">
        <is>
          <t>200, booking list with learner, status</t>
        </is>
      </c>
      <c r="F16" s="157" t="inlineStr">
        <is>
          <t>Passed</t>
        </is>
      </c>
      <c r="G16" s="156" t="n">
        <v>46127</v>
      </c>
      <c r="H16" s="157" t="inlineStr">
        <is>
          <t>Nguyễn Trần Tấn Phát</t>
        </is>
      </c>
      <c r="I16" s="157" t="inlineStr">
        <is>
          <t>Passed</t>
        </is>
      </c>
      <c r="J16" s="156" t="n">
        <v>46134</v>
      </c>
      <c r="K16" s="157" t="inlineStr">
        <is>
          <t>Nguyễn Minh Khôi</t>
        </is>
      </c>
      <c r="L16" s="157" t="inlineStr">
        <is>
          <t>Passed</t>
        </is>
      </c>
      <c r="M16" s="156" t="n">
        <v>46141</v>
      </c>
      <c r="N16" s="157" t="inlineStr">
        <is>
          <t>Hoàng Văn Anh Nghĩa</t>
        </is>
      </c>
      <c r="O16" s="157" t="n"/>
    </row>
    <row r="17" ht="54" customHeight="1" s="171">
      <c r="A17" s="157" t="inlineStr">
        <is>
          <t>TCH-LEAVE-002</t>
        </is>
      </c>
      <c r="B17" s="157" t="inlineStr">
        <is>
          <t>Create leave request</t>
        </is>
      </c>
      <c r="C17" s="157" t="inlineStr">
        <is>
          <t>Teacher authenticated</t>
        </is>
      </c>
      <c r="D17" s="161" t="inlineStr">
        <is>
          <t>POST `teacher/leave-requests` with date/reason</t>
        </is>
      </c>
      <c r="E17" s="161" t="inlineStr">
        <is>
          <t>201, leave request created, status pending</t>
        </is>
      </c>
      <c r="F17" s="157" t="inlineStr">
        <is>
          <t>Passed</t>
        </is>
      </c>
      <c r="G17" s="156" t="n">
        <v>46127</v>
      </c>
      <c r="H17" s="157" t="inlineStr">
        <is>
          <t>Nguyễn Minh Khôi</t>
        </is>
      </c>
      <c r="I17" s="157" t="inlineStr">
        <is>
          <t>Passed</t>
        </is>
      </c>
      <c r="J17" s="156" t="n">
        <v>46134</v>
      </c>
      <c r="K17" s="157" t="inlineStr">
        <is>
          <t>Hoàng Văn Anh Nghĩa</t>
        </is>
      </c>
      <c r="L17" s="157" t="inlineStr">
        <is>
          <t>Passed</t>
        </is>
      </c>
      <c r="M17" s="156" t="n">
        <v>46141</v>
      </c>
      <c r="N17" s="157" t="inlineStr">
        <is>
          <t>Nguyễn Nhật Phát</t>
        </is>
      </c>
      <c r="O17" s="157" t="n"/>
    </row>
    <row r="18" ht="54" customHeight="1" s="171">
      <c r="A18" s="157" t="inlineStr">
        <is>
          <t>TCH-LEAVE-003</t>
        </is>
      </c>
      <c r="B18" s="157" t="inlineStr">
        <is>
          <t>Staff approves leave request</t>
        </is>
      </c>
      <c r="C18" s="157" t="inlineStr">
        <is>
          <t>Staff authenticated, pending leave</t>
        </is>
      </c>
      <c r="D18" s="161" t="inlineStr">
        <is>
          <t>PATCH `admin/leave-requests/{id}` with approved</t>
        </is>
      </c>
      <c r="E18" s="161" t="inlineStr">
        <is>
          <t>200, leave approved</t>
        </is>
      </c>
      <c r="F18" s="157" t="inlineStr">
        <is>
          <t>Passed</t>
        </is>
      </c>
      <c r="G18" s="156" t="n">
        <v>46127</v>
      </c>
      <c r="H18" s="157" t="inlineStr">
        <is>
          <t>Hoàng Văn Anh Nghĩa</t>
        </is>
      </c>
      <c r="I18" s="157" t="inlineStr">
        <is>
          <t>Passed</t>
        </is>
      </c>
      <c r="J18" s="156" t="n">
        <v>46134</v>
      </c>
      <c r="K18" s="157" t="inlineStr">
        <is>
          <t>Nguyễn Nhật Phát</t>
        </is>
      </c>
      <c r="L18" s="157" t="inlineStr">
        <is>
          <t>Passed</t>
        </is>
      </c>
      <c r="M18" s="156" t="n">
        <v>46141</v>
      </c>
      <c r="N18" s="157" t="inlineStr">
        <is>
          <t>Nguyễn Trần Tấn Phát</t>
        </is>
      </c>
      <c r="O18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Grading &amp; AI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Result lookup, SSE, scoring formulas, pipeline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Backend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GRD-WF-003</t>
        </is>
      </c>
      <c r="B12" s="168" t="inlineStr">
        <is>
          <t>Writing result lookup by submission type</t>
        </is>
      </c>
      <c r="C12" s="168" t="inlineStr">
        <is>
          <t>Graded writing submission exists</t>
        </is>
      </c>
      <c r="D12" s="161" t="inlineStr">
        <is>
          <t>GET `grading/writing/{submissionType}/{submissionId}`</t>
        </is>
      </c>
      <c r="E12" s="162" t="inlineStr">
        <is>
          <t>200, writing result with band, rubric scores, feedback</t>
        </is>
      </c>
      <c r="F12" s="157" t="inlineStr">
        <is>
          <t>Passed</t>
        </is>
      </c>
      <c r="G12" s="156" t="n">
        <v>46127</v>
      </c>
      <c r="H12" s="157" t="inlineStr">
        <is>
          <t>Nguyễn Minh Khôi</t>
        </is>
      </c>
      <c r="I12" s="157" t="inlineStr">
        <is>
          <t>Passed</t>
        </is>
      </c>
      <c r="J12" s="156" t="n">
        <v>46134</v>
      </c>
      <c r="K12" s="157" t="inlineStr">
        <is>
          <t>Hoàng Văn Anh Nghĩa</t>
        </is>
      </c>
      <c r="L12" s="157" t="inlineStr">
        <is>
          <t>Passed</t>
        </is>
      </c>
      <c r="M12" s="156" t="n">
        <v>46141</v>
      </c>
      <c r="N12" s="157" t="inlineStr">
        <is>
          <t>Nguyễn Nhật Phát</t>
        </is>
      </c>
      <c r="O12" s="157" t="n"/>
    </row>
    <row r="13" ht="54" customHeight="1" s="171">
      <c r="A13" s="157" t="inlineStr">
        <is>
          <t>GRD-WF-004</t>
        </is>
      </c>
      <c r="B13" s="157" t="inlineStr">
        <is>
          <t>Speaking result lookup by submission type</t>
        </is>
      </c>
      <c r="C13" s="157" t="inlineStr">
        <is>
          <t>Graded speaking submission exists</t>
        </is>
      </c>
      <c r="D13" s="161" t="inlineStr">
        <is>
          <t>GET `grading/speaking/{submissionType}/{submissionId}`</t>
        </is>
      </c>
      <c r="E13" s="161" t="inlineStr">
        <is>
          <t>200, speaking result with band, rubric scores, transcript</t>
        </is>
      </c>
      <c r="F13" s="157" t="inlineStr">
        <is>
          <t>Passed</t>
        </is>
      </c>
      <c r="G13" s="156" t="n">
        <v>46127</v>
      </c>
      <c r="H13" s="157" t="inlineStr">
        <is>
          <t>Hoàng Văn Anh Nghĩa</t>
        </is>
      </c>
      <c r="I13" s="157" t="inlineStr">
        <is>
          <t>Passed</t>
        </is>
      </c>
      <c r="J13" s="156" t="n">
        <v>46134</v>
      </c>
      <c r="K13" s="157" t="inlineStr">
        <is>
          <t>Nguyễn Nhật Phát</t>
        </is>
      </c>
      <c r="L13" s="157" t="inlineStr">
        <is>
          <t>Passed</t>
        </is>
      </c>
      <c r="M13" s="156" t="n">
        <v>46141</v>
      </c>
      <c r="N13" s="157" t="inlineStr">
        <is>
          <t>Nguyễn Trần Tấn Phát</t>
        </is>
      </c>
      <c r="O13" s="157" t="n"/>
    </row>
    <row r="14" ht="54" customHeight="1" s="171">
      <c r="A14" s="157" t="inlineStr">
        <is>
          <t>GRD-WF-005</t>
        </is>
      </c>
      <c r="B14" s="157" t="inlineStr">
        <is>
          <t>Grading SSE stream emits progress/scores/feedback</t>
        </is>
      </c>
      <c r="C14" s="157" t="inlineStr">
        <is>
          <t>Active grading job</t>
        </is>
      </c>
      <c r="D14" s="161" t="inlineStr">
        <is>
          <t>GET `grading-jobs/{id}/stream`</t>
        </is>
      </c>
      <c r="E14" s="161" t="inlineStr">
        <is>
          <t>SSE events: progress, scores, feedback, done/completed</t>
        </is>
      </c>
      <c r="F14" s="157" t="inlineStr">
        <is>
          <t>Passed</t>
        </is>
      </c>
      <c r="G14" s="156" t="n">
        <v>46127</v>
      </c>
      <c r="H14" s="157" t="inlineStr">
        <is>
          <t>Nguyễn Nhật Phát</t>
        </is>
      </c>
      <c r="I14" s="157" t="inlineStr">
        <is>
          <t>Passed</t>
        </is>
      </c>
      <c r="J14" s="156" t="n">
        <v>46134</v>
      </c>
      <c r="K14" s="157" t="inlineStr">
        <is>
          <t>Nguyễn Trần Tấn Phát</t>
        </is>
      </c>
      <c r="L14" s="157" t="inlineStr">
        <is>
          <t>Passed</t>
        </is>
      </c>
      <c r="M14" s="156" t="n">
        <v>46141</v>
      </c>
      <c r="N14" s="157" t="inlineStr">
        <is>
          <t>Nguyễn Minh Khôi</t>
        </is>
      </c>
      <c r="O14" s="157" t="n"/>
    </row>
    <row r="15" ht="54" customHeight="1" s="171">
      <c r="A15" s="157" t="inlineStr">
        <is>
          <t>GRD-WF-006</t>
        </is>
      </c>
      <c r="B15" s="157" t="inlineStr">
        <is>
          <t>FeedbackCompleted event fires after grading</t>
        </is>
      </c>
      <c r="C15" s="157" t="inlineStr">
        <is>
          <t>Grading completes</t>
        </is>
      </c>
      <c r="D15" s="161" t="inlineStr">
        <is>
          <t>Grading pipeline finishes</t>
        </is>
      </c>
      <c r="E15" s="161" t="inlineStr">
        <is>
          <t>Event dispatched, notification sent</t>
        </is>
      </c>
      <c r="F15" s="157" t="inlineStr">
        <is>
          <t>Passed</t>
        </is>
      </c>
      <c r="G15" s="156" t="n">
        <v>46127</v>
      </c>
      <c r="H15" s="157" t="inlineStr">
        <is>
          <t>Nguyễn Trần Tấn Phát</t>
        </is>
      </c>
      <c r="I15" s="157" t="inlineStr">
        <is>
          <t>Passed</t>
        </is>
      </c>
      <c r="J15" s="156" t="n">
        <v>46134</v>
      </c>
      <c r="K15" s="157" t="inlineStr">
        <is>
          <t>Nguyễn Minh Khôi</t>
        </is>
      </c>
      <c r="L15" s="157" t="inlineStr">
        <is>
          <t>Passed</t>
        </is>
      </c>
      <c r="M15" s="156" t="n">
        <v>46141</v>
      </c>
      <c r="N15" s="157" t="inlineStr">
        <is>
          <t>Hoàng Văn Anh Nghĩa</t>
        </is>
      </c>
      <c r="O15" s="157" t="n"/>
    </row>
    <row r="16" ht="54" customHeight="1" s="171">
      <c r="A16" s="157" t="inlineStr">
        <is>
          <t>GRD-WRI-001</t>
        </is>
      </c>
      <c r="B16" s="157" t="inlineStr">
        <is>
          <t>Writing scoring formula with valid rubric parameters</t>
        </is>
      </c>
      <c r="C16" s="157" t="inlineStr">
        <is>
          <t>Valid rubric data</t>
        </is>
      </c>
      <c r="D16" s="161" t="inlineStr">
        <is>
          <t>Run scoring formula</t>
        </is>
      </c>
      <c r="E16" s="161" t="inlineStr">
        <is>
          <t>Deterministic score based on rubric weights and evidence</t>
        </is>
      </c>
      <c r="F16" s="157" t="inlineStr">
        <is>
          <t>Passed</t>
        </is>
      </c>
      <c r="G16" s="156" t="n">
        <v>46127</v>
      </c>
      <c r="H16" s="157" t="inlineStr">
        <is>
          <t>Nguyễn Minh Khôi</t>
        </is>
      </c>
      <c r="I16" s="157" t="inlineStr">
        <is>
          <t>Passed</t>
        </is>
      </c>
      <c r="J16" s="156" t="n">
        <v>46134</v>
      </c>
      <c r="K16" s="157" t="inlineStr">
        <is>
          <t>Hoàng Văn Anh Nghĩa</t>
        </is>
      </c>
      <c r="L16" s="157" t="inlineStr">
        <is>
          <t>Passed</t>
        </is>
      </c>
      <c r="M16" s="156" t="n">
        <v>46141</v>
      </c>
      <c r="N16" s="157" t="inlineStr">
        <is>
          <t>Nguyễn Nhật Phát</t>
        </is>
      </c>
      <c r="O16" s="157" t="n"/>
    </row>
    <row r="17" ht="54" customHeight="1" s="171">
      <c r="A17" s="157" t="inlineStr">
        <is>
          <t>GRD-WRI-005</t>
        </is>
      </c>
      <c r="B17" s="157" t="inlineStr">
        <is>
          <t>Writing validation: VSTEP requirements</t>
        </is>
      </c>
      <c r="C17" s="157" t="inlineStr">
        <is>
          <t>Writing submission</t>
        </is>
      </c>
      <c r="D17" s="161" t="inlineStr">
        <is>
          <t>Validate submission against VSTEP criteria</t>
        </is>
      </c>
      <c r="E17" s="161" t="inlineStr">
        <is>
          <t>Valid/invalid based on task type, word count, content</t>
        </is>
      </c>
      <c r="F17" s="157" t="inlineStr">
        <is>
          <t>Passed</t>
        </is>
      </c>
      <c r="G17" s="156" t="n">
        <v>46127</v>
      </c>
      <c r="H17" s="157" t="inlineStr">
        <is>
          <t>Hoàng Văn Anh Nghĩa</t>
        </is>
      </c>
      <c r="I17" s="157" t="inlineStr">
        <is>
          <t>Passed</t>
        </is>
      </c>
      <c r="J17" s="156" t="n">
        <v>46134</v>
      </c>
      <c r="K17" s="157" t="inlineStr">
        <is>
          <t>Nguyễn Nhật Phát</t>
        </is>
      </c>
      <c r="L17" s="157" t="inlineStr">
        <is>
          <t>Passed</t>
        </is>
      </c>
      <c r="M17" s="156" t="n">
        <v>46141</v>
      </c>
      <c r="N17" s="157" t="inlineStr">
        <is>
          <t>Nguyễn Trần Tấn Phát</t>
        </is>
      </c>
      <c r="O17" s="157" t="n"/>
    </row>
    <row r="18" ht="54" customHeight="1" s="171">
      <c r="A18" s="157" t="inlineStr">
        <is>
          <t>GRD-SPK-001</t>
        </is>
      </c>
      <c r="B18" s="157" t="inlineStr">
        <is>
          <t>Speaking scoring formula with rubric parameters</t>
        </is>
      </c>
      <c r="C18" s="157" t="inlineStr">
        <is>
          <t>Valid rubric data</t>
        </is>
      </c>
      <c r="D18" s="161" t="inlineStr">
        <is>
          <t>Run scoring formula</t>
        </is>
      </c>
      <c r="E18" s="161" t="inlineStr">
        <is>
          <t>Band score based on pronunciation, fluency, grammar, vocabulary</t>
        </is>
      </c>
      <c r="F18" s="157" t="inlineStr">
        <is>
          <t>Passed</t>
        </is>
      </c>
      <c r="G18" s="156" t="n">
        <v>46127</v>
      </c>
      <c r="H18" s="157" t="inlineStr">
        <is>
          <t>Nguyễn Nhật Phát</t>
        </is>
      </c>
      <c r="I18" s="157" t="inlineStr">
        <is>
          <t>Passed</t>
        </is>
      </c>
      <c r="J18" s="156" t="n">
        <v>46134</v>
      </c>
      <c r="K18" s="157" t="inlineStr">
        <is>
          <t>Nguyễn Trần Tấn Phát</t>
        </is>
      </c>
      <c r="L18" s="157" t="inlineStr">
        <is>
          <t>Passed</t>
        </is>
      </c>
      <c r="M18" s="156" t="n">
        <v>46141</v>
      </c>
      <c r="N18" s="157" t="inlineStr">
        <is>
          <t>Nguyễn Minh Khôi</t>
        </is>
      </c>
      <c r="O18" s="157" t="n"/>
    </row>
    <row r="19" ht="54" customHeight="1" s="171">
      <c r="A19" s="157" t="inlineStr">
        <is>
          <t>GRD-SPK-002</t>
        </is>
      </c>
      <c r="B19" s="157" t="inlineStr">
        <is>
          <t>Conversation turn handling</t>
        </is>
      </c>
      <c r="C19" s="157" t="inlineStr">
        <is>
          <t>User audio and text</t>
        </is>
      </c>
      <c r="D19" s="161" t="inlineStr">
        <is>
          <t>Process conversation turn</t>
        </is>
      </c>
      <c r="E19" s="161" t="inlineStr">
        <is>
          <t>Content relevance, task fulfillment assessed</t>
        </is>
      </c>
      <c r="F19" s="157" t="inlineStr">
        <is>
          <t>Passed</t>
        </is>
      </c>
      <c r="G19" s="156" t="n">
        <v>46127</v>
      </c>
      <c r="H19" s="157" t="inlineStr">
        <is>
          <t>Nguyễn Trần Tấn Phát</t>
        </is>
      </c>
      <c r="I19" s="157" t="inlineStr">
        <is>
          <t>Passed</t>
        </is>
      </c>
      <c r="J19" s="156" t="n">
        <v>46134</v>
      </c>
      <c r="K19" s="157" t="inlineStr">
        <is>
          <t>Nguyễn Minh Khôi</t>
        </is>
      </c>
      <c r="L19" s="157" t="inlineStr">
        <is>
          <t>Passed</t>
        </is>
      </c>
      <c r="M19" s="156" t="n">
        <v>46141</v>
      </c>
      <c r="N19" s="157" t="inlineStr">
        <is>
          <t>Hoàng Văn Anh Nghĩa</t>
        </is>
      </c>
      <c r="O19" s="157" t="n"/>
    </row>
    <row r="20" ht="54" customHeight="1" s="171">
      <c r="A20" s="157" t="inlineStr">
        <is>
          <t>GRD-AI-001</t>
        </is>
      </c>
      <c r="B20" s="157" t="inlineStr">
        <is>
          <t>LLM grading service handles request/response</t>
        </is>
      </c>
      <c r="C20" s="157" t="inlineStr">
        <is>
          <t>Grading request</t>
        </is>
      </c>
      <c r="D20" s="161" t="inlineStr">
        <is>
          <t>Send to LLM, receive response</t>
        </is>
      </c>
      <c r="E20" s="161" t="inlineStr">
        <is>
          <t>Correct wire format, parsed grading result</t>
        </is>
      </c>
      <c r="F20" s="157" t="inlineStr">
        <is>
          <t>Passed</t>
        </is>
      </c>
      <c r="G20" s="156" t="n">
        <v>46127</v>
      </c>
      <c r="H20" s="157" t="inlineStr">
        <is>
          <t>Nguyễn Minh Khôi</t>
        </is>
      </c>
      <c r="I20" s="157" t="inlineStr">
        <is>
          <t>Passed</t>
        </is>
      </c>
      <c r="J20" s="156" t="n">
        <v>46134</v>
      </c>
      <c r="K20" s="157" t="inlineStr">
        <is>
          <t>Hoàng Văn Anh Nghĩa</t>
        </is>
      </c>
      <c r="L20" s="157" t="inlineStr">
        <is>
          <t>Passed</t>
        </is>
      </c>
      <c r="M20" s="156" t="n">
        <v>46141</v>
      </c>
      <c r="N20" s="157" t="inlineStr">
        <is>
          <t>Nguyễn Nhật Phát</t>
        </is>
      </c>
      <c r="O20" s="157" t="n"/>
    </row>
    <row r="21" ht="54" customHeight="1" s="171">
      <c r="A21" s="157" t="inlineStr">
        <is>
          <t>GRD-AI-005</t>
        </is>
      </c>
      <c r="B21" s="157" t="inlineStr">
        <is>
          <t>Grading pipeline end-to-end (test)</t>
        </is>
      </c>
      <c r="C21" s="157" t="inlineStr">
        <is>
          <t>Full grading pipeline test</t>
        </is>
      </c>
      <c r="D21" s="161" t="inlineStr">
        <is>
          <t>Submit writing/speaking, observe pipeline</t>
        </is>
      </c>
      <c r="E21" s="161" t="inlineStr">
        <is>
          <t>Grading job created, processing, result persisted, event fired</t>
        </is>
      </c>
      <c r="F21" s="157" t="inlineStr">
        <is>
          <t>Passed</t>
        </is>
      </c>
      <c r="G21" s="156" t="n">
        <v>46127</v>
      </c>
      <c r="H21" s="157" t="inlineStr">
        <is>
          <t>Hoàng Văn Anh Nghĩa</t>
        </is>
      </c>
      <c r="I21" s="157" t="inlineStr">
        <is>
          <t>Passed</t>
        </is>
      </c>
      <c r="J21" s="156" t="n">
        <v>46134</v>
      </c>
      <c r="K21" s="157" t="inlineStr">
        <is>
          <t>Nguyễn Nhật Phát</t>
        </is>
      </c>
      <c r="L21" s="157" t="inlineStr">
        <is>
          <t>Passed</t>
        </is>
      </c>
      <c r="M21" s="156" t="n">
        <v>46141</v>
      </c>
      <c r="N21" s="157" t="inlineStr">
        <is>
          <t>Nguyễn Trần Tấn Phát</t>
        </is>
      </c>
      <c r="O21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System Integration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Role hierarchy, health, config, cross-module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Backend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SYS-AUTH-001</t>
        </is>
      </c>
      <c r="B12" s="168" t="inlineStr">
        <is>
          <t>Authenticated learner cannot access admin routes</t>
        </is>
      </c>
      <c r="C12" s="168" t="inlineStr">
        <is>
          <t>Learner token</t>
        </is>
      </c>
      <c r="D12" s="161" t="inlineStr">
        <is>
          <t>GET `admin/stats`</t>
        </is>
      </c>
      <c r="E12" s="162" t="inlineStr">
        <is>
          <t>403</t>
        </is>
      </c>
      <c r="F12" s="157" t="inlineStr">
        <is>
          <t>Passed</t>
        </is>
      </c>
      <c r="G12" s="156" t="n">
        <v>46127</v>
      </c>
      <c r="H12" s="157" t="inlineStr">
        <is>
          <t>Hoàng Văn Anh Nghĩa</t>
        </is>
      </c>
      <c r="I12" s="157" t="inlineStr">
        <is>
          <t>Passed</t>
        </is>
      </c>
      <c r="J12" s="156" t="n">
        <v>46134</v>
      </c>
      <c r="K12" s="157" t="inlineStr">
        <is>
          <t>Nguyễn Nhật Phát</t>
        </is>
      </c>
      <c r="L12" s="157" t="inlineStr">
        <is>
          <t>Passed</t>
        </is>
      </c>
      <c r="M12" s="156" t="n">
        <v>46141</v>
      </c>
      <c r="N12" s="157" t="inlineStr">
        <is>
          <t>Nguyễn Trần Tấn Phát</t>
        </is>
      </c>
      <c r="O12" s="157" t="n"/>
    </row>
    <row r="13" ht="54" customHeight="1" s="171">
      <c r="A13" s="157" t="inlineStr">
        <is>
          <t>SYS-AUTH-003</t>
        </is>
      </c>
      <c r="B13" s="157" t="inlineStr">
        <is>
          <t>Staff cannot access admin-only routes (system config, users, promo)</t>
        </is>
      </c>
      <c r="C13" s="157" t="inlineStr">
        <is>
          <t>Staff token (not admin)</t>
        </is>
      </c>
      <c r="D13" s="161" t="inlineStr">
        <is>
          <t>GET `admin/system-config`</t>
        </is>
      </c>
      <c r="E13" s="161" t="inlineStr">
        <is>
          <t>403</t>
        </is>
      </c>
      <c r="F13" s="157" t="inlineStr">
        <is>
          <t>Passed</t>
        </is>
      </c>
      <c r="G13" s="156" t="n">
        <v>46127</v>
      </c>
      <c r="H13" s="157" t="inlineStr">
        <is>
          <t>Nguyễn Nhật Phát</t>
        </is>
      </c>
      <c r="I13" s="157" t="inlineStr">
        <is>
          <t>Passed</t>
        </is>
      </c>
      <c r="J13" s="156" t="n">
        <v>46134</v>
      </c>
      <c r="K13" s="157" t="inlineStr">
        <is>
          <t>Nguyễn Trần Tấn Phát</t>
        </is>
      </c>
      <c r="L13" s="157" t="inlineStr">
        <is>
          <t>Passed</t>
        </is>
      </c>
      <c r="M13" s="156" t="n">
        <v>46141</v>
      </c>
      <c r="N13" s="157" t="inlineStr">
        <is>
          <t>Nguyễn Minh Khôi</t>
        </is>
      </c>
      <c r="O13" s="157" t="n"/>
    </row>
    <row r="14" ht="54" customHeight="1" s="171">
      <c r="A14" s="157" t="inlineStr">
        <is>
          <t>SYS-AUTH-004</t>
        </is>
      </c>
      <c r="B14" s="157" t="inlineStr">
        <is>
          <t>Teacher can access teacher routes</t>
        </is>
      </c>
      <c r="C14" s="157" t="inlineStr">
        <is>
          <t>Teacher token</t>
        </is>
      </c>
      <c r="D14" s="161" t="inlineStr">
        <is>
          <t>GET `teacher/dashboard`</t>
        </is>
      </c>
      <c r="E14" s="161" t="inlineStr">
        <is>
          <t>200</t>
        </is>
      </c>
      <c r="F14" s="157" t="inlineStr">
        <is>
          <t>Passed</t>
        </is>
      </c>
      <c r="G14" s="156" t="n">
        <v>46127</v>
      </c>
      <c r="H14" s="157" t="inlineStr">
        <is>
          <t>Nguyễn Trần Tấn Phát</t>
        </is>
      </c>
      <c r="I14" s="157" t="inlineStr">
        <is>
          <t>Passed</t>
        </is>
      </c>
      <c r="J14" s="156" t="n">
        <v>46134</v>
      </c>
      <c r="K14" s="157" t="inlineStr">
        <is>
          <t>Nguyễn Minh Khôi</t>
        </is>
      </c>
      <c r="L14" s="157" t="inlineStr">
        <is>
          <t>Passed</t>
        </is>
      </c>
      <c r="M14" s="156" t="n">
        <v>46141</v>
      </c>
      <c r="N14" s="157" t="inlineStr">
        <is>
          <t>Hoàng Văn Anh Nghĩa</t>
        </is>
      </c>
      <c r="O14" s="157" t="n"/>
    </row>
    <row r="15" ht="54" customHeight="1" s="171">
      <c r="A15" s="157" t="inlineStr">
        <is>
          <t>SYS-AUTH-006</t>
        </is>
      </c>
      <c r="B15" s="157" t="inlineStr">
        <is>
          <t>Unauthenticated request rejected for protected routes</t>
        </is>
      </c>
      <c r="C15" s="157" t="inlineStr">
        <is>
          <t>No token</t>
        </is>
      </c>
      <c r="D15" s="161" t="inlineStr">
        <is>
          <t>GET any protected endpoint</t>
        </is>
      </c>
      <c r="E15" s="161" t="inlineStr">
        <is>
          <t>401</t>
        </is>
      </c>
      <c r="F15" s="157" t="inlineStr">
        <is>
          <t>Passed</t>
        </is>
      </c>
      <c r="G15" s="156" t="n">
        <v>46127</v>
      </c>
      <c r="H15" s="157" t="inlineStr">
        <is>
          <t>Nguyễn Minh Khôi</t>
        </is>
      </c>
      <c r="I15" s="157" t="inlineStr">
        <is>
          <t>Passed</t>
        </is>
      </c>
      <c r="J15" s="156" t="n">
        <v>46134</v>
      </c>
      <c r="K15" s="157" t="inlineStr">
        <is>
          <t>Hoàng Văn Anh Nghĩa</t>
        </is>
      </c>
      <c r="L15" s="157" t="inlineStr">
        <is>
          <t>Passed</t>
        </is>
      </c>
      <c r="M15" s="156" t="n">
        <v>46141</v>
      </c>
      <c r="N15" s="157" t="inlineStr">
        <is>
          <t>Nguyễn Nhật Phát</t>
        </is>
      </c>
      <c r="O15" s="157" t="n"/>
    </row>
    <row r="16" ht="54" customHeight="1" s="171">
      <c r="A16" s="157" t="inlineStr">
        <is>
          <t>SYS-INT-001</t>
        </is>
      </c>
      <c r="B16" s="157" t="inlineStr">
        <is>
          <t>Exam submission triggers streak update</t>
        </is>
      </c>
      <c r="C16" s="157" t="inlineStr">
        <is>
          <t>Learner submits full-test exam</t>
        </is>
      </c>
      <c r="D16" s="161" t="inlineStr">
        <is>
          <t>Submit exam, check streak</t>
        </is>
      </c>
      <c r="E16" s="161" t="inlineStr">
        <is>
          <t>Streak updated if first full-test today</t>
        </is>
      </c>
      <c r="F16" s="157" t="inlineStr">
        <is>
          <t>Passed</t>
        </is>
      </c>
      <c r="G16" s="156" t="n">
        <v>46127</v>
      </c>
      <c r="H16" s="157" t="inlineStr">
        <is>
          <t>Hoàng Văn Anh Nghĩa</t>
        </is>
      </c>
      <c r="I16" s="157" t="inlineStr">
        <is>
          <t>Passed</t>
        </is>
      </c>
      <c r="J16" s="156" t="n">
        <v>46134</v>
      </c>
      <c r="K16" s="157" t="inlineStr">
        <is>
          <t>Nguyễn Nhật Phát</t>
        </is>
      </c>
      <c r="L16" s="157" t="inlineStr">
        <is>
          <t>Passed</t>
        </is>
      </c>
      <c r="M16" s="156" t="n">
        <v>46141</v>
      </c>
      <c r="N16" s="157" t="inlineStr">
        <is>
          <t>Nguyễn Trần Tấn Phát</t>
        </is>
      </c>
      <c r="O16" s="157" t="n"/>
    </row>
    <row r="17" ht="54" customHeight="1" s="171">
      <c r="A17" s="157" t="inlineStr">
        <is>
          <t>SYS-INT-002</t>
        </is>
      </c>
      <c r="B17" s="157" t="inlineStr">
        <is>
          <t>Grading completion triggers notification</t>
        </is>
      </c>
      <c r="C17" s="157" t="inlineStr">
        <is>
          <t>Writing/speaking graded</t>
        </is>
      </c>
      <c r="D17" s="161" t="inlineStr">
        <is>
          <t>Grading completes</t>
        </is>
      </c>
      <c r="E17" s="161" t="inlineStr">
        <is>
          <t>Notification created for learner</t>
        </is>
      </c>
      <c r="F17" s="157" t="inlineStr">
        <is>
          <t>Passed</t>
        </is>
      </c>
      <c r="G17" s="156" t="n">
        <v>46127</v>
      </c>
      <c r="H17" s="157" t="inlineStr">
        <is>
          <t>Nguyễn Nhật Phát</t>
        </is>
      </c>
      <c r="I17" s="157" t="inlineStr">
        <is>
          <t>Passed</t>
        </is>
      </c>
      <c r="J17" s="156" t="n">
        <v>46134</v>
      </c>
      <c r="K17" s="157" t="inlineStr">
        <is>
          <t>Nguyễn Trần Tấn Phát</t>
        </is>
      </c>
      <c r="L17" s="157" t="inlineStr">
        <is>
          <t>Passed</t>
        </is>
      </c>
      <c r="M17" s="156" t="n">
        <v>46141</v>
      </c>
      <c r="N17" s="157" t="inlineStr">
        <is>
          <t>Nguyễn Minh Khôi</t>
        </is>
      </c>
      <c r="O17" s="157" t="n"/>
    </row>
    <row r="18" ht="54" customHeight="1" s="171">
      <c r="A18" s="157" t="inlineStr">
        <is>
          <t>SYS-INT-003</t>
        </is>
      </c>
      <c r="B18" s="157" t="inlineStr">
        <is>
          <t>Top-up completion triggers notification</t>
        </is>
      </c>
      <c r="C18" s="157" t="inlineStr">
        <is>
          <t>Payment callback confirms top-up</t>
        </is>
      </c>
      <c r="D18" s="161" t="inlineStr">
        <is>
          <t>Top-up confirmed</t>
        </is>
      </c>
      <c r="E18" s="161" t="inlineStr">
        <is>
          <t>Notification created, wallet balance updated in UI</t>
        </is>
      </c>
      <c r="F18" s="157" t="inlineStr">
        <is>
          <t>Passed</t>
        </is>
      </c>
      <c r="G18" s="156" t="n">
        <v>46127</v>
      </c>
      <c r="H18" s="157" t="inlineStr">
        <is>
          <t>Nguyễn Trần Tấn Phát</t>
        </is>
      </c>
      <c r="I18" s="157" t="inlineStr">
        <is>
          <t>Passed</t>
        </is>
      </c>
      <c r="J18" s="156" t="n">
        <v>46134</v>
      </c>
      <c r="K18" s="157" t="inlineStr">
        <is>
          <t>Nguyễn Minh Khôi</t>
        </is>
      </c>
      <c r="L18" s="157" t="inlineStr">
        <is>
          <t>Passed</t>
        </is>
      </c>
      <c r="M18" s="156" t="n">
        <v>46141</v>
      </c>
      <c r="N18" s="157" t="inlineStr">
        <is>
          <t>Hoàng Văn Anh Nghĩa</t>
        </is>
      </c>
      <c r="O18" s="157" t="n"/>
    </row>
    <row r="19" ht="54" customHeight="1" s="171">
      <c r="A19" s="157" t="inlineStr">
        <is>
          <t>SYS-HLTH-001</t>
        </is>
      </c>
      <c r="B19" s="157" t="inlineStr">
        <is>
          <t>Health endpoint returns OK</t>
        </is>
      </c>
      <c r="C19" s="157" t="inlineStr">
        <is>
          <t>Backend running, DB connected</t>
        </is>
      </c>
      <c r="D19" s="161" t="inlineStr">
        <is>
          <t>GET `health`</t>
        </is>
      </c>
      <c r="E19" s="161" t="inlineStr">
        <is>
          <t>200, status ok</t>
        </is>
      </c>
      <c r="F19" s="157" t="inlineStr">
        <is>
          <t>Passed</t>
        </is>
      </c>
      <c r="G19" s="156" t="n">
        <v>46127</v>
      </c>
      <c r="H19" s="157" t="inlineStr">
        <is>
          <t>Nguyễn Minh Khôi</t>
        </is>
      </c>
      <c r="I19" s="157" t="inlineStr">
        <is>
          <t>Passed</t>
        </is>
      </c>
      <c r="J19" s="156" t="n">
        <v>46134</v>
      </c>
      <c r="K19" s="157" t="inlineStr">
        <is>
          <t>Hoàng Văn Anh Nghĩa</t>
        </is>
      </c>
      <c r="L19" s="157" t="inlineStr">
        <is>
          <t>Passed</t>
        </is>
      </c>
      <c r="M19" s="156" t="n">
        <v>46141</v>
      </c>
      <c r="N19" s="157" t="inlineStr">
        <is>
          <t>Nguyễn Nhật Phát</t>
        </is>
      </c>
      <c r="O19" s="157" t="n"/>
    </row>
    <row r="20" ht="54" customHeight="1" s="171">
      <c r="A20" s="157" t="inlineStr">
        <is>
          <t>SYS-HLTH-002</t>
        </is>
      </c>
      <c r="B20" s="157" t="inlineStr">
        <is>
          <t>Config endpoint returns app config</t>
        </is>
      </c>
      <c r="C20" s="157" t="inlineStr">
        <is>
          <t>Backend running</t>
        </is>
      </c>
      <c r="D20" s="161" t="inlineStr">
        <is>
          <t>GET `config`</t>
        </is>
      </c>
      <c r="E20" s="161" t="inlineStr">
        <is>
          <t>200, pricing, exam config, chart config values returned</t>
        </is>
      </c>
      <c r="F20" s="157" t="inlineStr">
        <is>
          <t>Passed</t>
        </is>
      </c>
      <c r="G20" s="156" t="n">
        <v>46127</v>
      </c>
      <c r="H20" s="157" t="inlineStr">
        <is>
          <t>Hoàng Văn Anh Nghĩa</t>
        </is>
      </c>
      <c r="I20" s="157" t="inlineStr">
        <is>
          <t>Passed</t>
        </is>
      </c>
      <c r="J20" s="156" t="n">
        <v>46134</v>
      </c>
      <c r="K20" s="157" t="inlineStr">
        <is>
          <t>Nguyễn Nhật Phát</t>
        </is>
      </c>
      <c r="L20" s="157" t="inlineStr">
        <is>
          <t>Passed</t>
        </is>
      </c>
      <c r="M20" s="156" t="n">
        <v>46141</v>
      </c>
      <c r="N20" s="157" t="inlineStr">
        <is>
          <t>Nguyễn Trần Tấn Phát</t>
        </is>
      </c>
      <c r="O20" s="157" t="n"/>
    </row>
    <row r="21" ht="54" customHeight="1" s="171">
      <c r="A21" s="157" t="inlineStr">
        <is>
          <t>SYS-PAY-001</t>
        </is>
      </c>
      <c r="B21" s="157" t="inlineStr">
        <is>
          <t>Payment callback endpoint is public</t>
        </is>
      </c>
      <c r="C21" s="157" t="inlineStr">
        <is>
          <t>No auth required</t>
        </is>
      </c>
      <c r="D21" s="161" t="inlineStr">
        <is>
          <t>POST `payment/callback/{provider}`</t>
        </is>
      </c>
      <c r="E21" s="161" t="inlineStr">
        <is>
          <t>Processes without auth, provider-specific data</t>
        </is>
      </c>
      <c r="F21" s="157" t="inlineStr">
        <is>
          <t>Passed</t>
        </is>
      </c>
      <c r="G21" s="156" t="n">
        <v>46127</v>
      </c>
      <c r="H21" s="157" t="inlineStr">
        <is>
          <t>Nguyễn Nhật Phát</t>
        </is>
      </c>
      <c r="I21" s="157" t="inlineStr">
        <is>
          <t>Passed</t>
        </is>
      </c>
      <c r="J21" s="156" t="n">
        <v>46134</v>
      </c>
      <c r="K21" s="157" t="inlineStr">
        <is>
          <t>Nguyễn Trần Tấn Phát</t>
        </is>
      </c>
      <c r="L21" s="157" t="inlineStr">
        <is>
          <t>Passed</t>
        </is>
      </c>
      <c r="M21" s="156" t="n">
        <v>46141</v>
      </c>
      <c r="N21" s="157" t="inlineStr">
        <is>
          <t>Nguyễn Minh Khôi</t>
        </is>
      </c>
      <c r="O21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style="171" min="1" max="1"/>
    <col width="40" customWidth="1" style="171" min="2" max="2"/>
    <col width="55" customWidth="1" style="171" min="3" max="3"/>
    <col width="45" customWidth="1" style="171" min="4" max="4"/>
    <col width="35" customWidth="1" style="171" min="5" max="5"/>
    <col width="9.380000000000001" customWidth="1" style="171" min="6" max="6"/>
    <col width="13" customWidth="1" style="171" min="7" max="7"/>
    <col width="18" customWidth="1" style="171" min="8" max="8"/>
    <col width="9.380000000000001" customWidth="1" style="171" min="9" max="9"/>
    <col width="13" customWidth="1" style="171" min="10" max="10"/>
    <col width="18" customWidth="1" style="171" min="11" max="11"/>
    <col width="9.380000000000001" customWidth="1" style="171" min="12" max="12"/>
    <col width="13" customWidth="1" style="171" min="13" max="13"/>
    <col width="18" customWidth="1" style="171" min="14" max="14"/>
    <col width="35" customWidth="1" style="171" min="15" max="15"/>
  </cols>
  <sheetData>
    <row r="1" ht="12.75" customHeight="1" s="17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</row>
    <row r="2" ht="15" customHeight="1" s="171">
      <c r="A2" s="121" t="inlineStr">
        <is>
          <t>Feature</t>
        </is>
      </c>
      <c r="B2" s="186" t="inlineStr">
        <is>
          <t>Non-functional</t>
        </is>
      </c>
      <c r="C2" s="187" t="n"/>
      <c r="D2" s="187" t="n"/>
      <c r="E2" s="188" t="n"/>
      <c r="F2" s="125" t="n"/>
      <c r="G2" s="126" t="n"/>
      <c r="H2" s="49" t="n"/>
      <c r="I2" s="125" t="n"/>
      <c r="J2" s="126" t="n"/>
      <c r="K2" s="49" t="n"/>
      <c r="L2" s="125" t="n"/>
      <c r="M2" s="126" t="n"/>
      <c r="N2" s="49" t="n"/>
      <c r="O2" s="49" t="n"/>
    </row>
    <row r="3" ht="12.75" customHeight="1" s="171">
      <c r="A3" s="129" t="inlineStr">
        <is>
          <t>Test requirement</t>
        </is>
      </c>
      <c r="B3" s="189" t="inlineStr">
        <is>
          <t>Security, performance, compatibility, usability, reliability</t>
        </is>
      </c>
      <c r="C3" s="173" t="n"/>
      <c r="D3" s="173" t="n"/>
      <c r="E3" s="190" t="n"/>
      <c r="F3" s="125" t="n"/>
      <c r="G3" s="126" t="n"/>
      <c r="H3" s="49" t="n"/>
      <c r="I3" s="125" t="n"/>
      <c r="J3" s="126" t="n"/>
      <c r="K3" s="49" t="n"/>
      <c r="L3" s="125" t="n"/>
      <c r="M3" s="126" t="n"/>
      <c r="N3" s="49" t="n"/>
      <c r="O3" s="49" t="n"/>
    </row>
    <row r="4" ht="18" customHeight="1" s="171">
      <c r="A4" s="129" t="inlineStr">
        <is>
          <t>Number of TCs</t>
        </is>
      </c>
      <c r="B4" s="189">
        <f>COUNTA(A12:A997)</f>
        <v/>
      </c>
      <c r="C4" s="173" t="n"/>
      <c r="D4" s="173" t="n"/>
      <c r="E4" s="190" t="n"/>
      <c r="F4" s="125" t="n"/>
      <c r="G4" s="126" t="n"/>
      <c r="H4" s="49" t="n"/>
      <c r="I4" s="125" t="n"/>
      <c r="J4" s="126" t="n"/>
      <c r="K4" s="49" t="n"/>
      <c r="L4" s="125" t="n"/>
      <c r="M4" s="126" t="n"/>
      <c r="N4" s="49" t="n"/>
      <c r="O4" s="49" t="n"/>
    </row>
    <row r="5" ht="19.5" customHeight="1" s="171">
      <c r="A5" s="133" t="inlineStr">
        <is>
          <t>Testing Round</t>
        </is>
      </c>
      <c r="B5" s="134" t="inlineStr">
        <is>
          <t>Passed</t>
        </is>
      </c>
      <c r="C5" s="134" t="inlineStr">
        <is>
          <t>Failed</t>
        </is>
      </c>
      <c r="D5" s="134" t="inlineStr">
        <is>
          <t>Pending</t>
        </is>
      </c>
      <c r="E5" s="135" t="inlineStr">
        <is>
          <t>N/A</t>
        </is>
      </c>
      <c r="F5" s="136" t="n"/>
      <c r="G5" s="136" t="n"/>
      <c r="H5" s="137" t="n"/>
      <c r="I5" s="136" t="n"/>
      <c r="J5" s="136" t="n"/>
      <c r="K5" s="137" t="n"/>
      <c r="L5" s="136" t="n"/>
      <c r="M5" s="136" t="n"/>
      <c r="N5" s="137" t="n"/>
      <c r="O5" s="137" t="n"/>
    </row>
    <row r="6" ht="15" customHeight="1" s="171">
      <c r="A6" s="133" t="inlineStr">
        <is>
          <t>Round 1</t>
        </is>
      </c>
      <c r="B6" s="139">
        <f>COUNTIF($F$12:$F$997,B$5)</f>
        <v/>
      </c>
      <c r="C6" s="139">
        <f>COUNTIF($F$12:$F$997,C$5)</f>
        <v/>
      </c>
      <c r="D6" s="139">
        <f>COUNTIF($F$12:$F$997,D$5)</f>
        <v/>
      </c>
      <c r="E6" s="140">
        <f>COUNTIF($F$12:$F$997,E$5)</f>
        <v/>
      </c>
      <c r="F6" s="141" t="n"/>
      <c r="G6" s="141" t="n"/>
      <c r="H6" s="137" t="n"/>
      <c r="I6" s="141" t="n"/>
      <c r="J6" s="141" t="n"/>
      <c r="K6" s="137" t="n"/>
      <c r="L6" s="141" t="n"/>
      <c r="M6" s="141" t="n"/>
      <c r="N6" s="137" t="n"/>
      <c r="O6" s="137" t="n"/>
    </row>
    <row r="7" ht="15" customHeight="1" s="171">
      <c r="A7" s="133" t="inlineStr">
        <is>
          <t>Round 2</t>
        </is>
      </c>
      <c r="B7" s="139">
        <f>COUNTIF($I$12:$I$997,B$5)</f>
        <v/>
      </c>
      <c r="C7" s="139">
        <f>COUNTIF($I$12:$I$997,C$5)</f>
        <v/>
      </c>
      <c r="D7" s="139">
        <f>COUNTIF($I$12:$I$997,D$5)</f>
        <v/>
      </c>
      <c r="E7" s="140">
        <f>COUNTIF($I$12:$I$997,E$5)</f>
        <v/>
      </c>
      <c r="F7" s="141" t="n"/>
      <c r="G7" s="141" t="n"/>
      <c r="H7" s="137" t="n"/>
      <c r="I7" s="141" t="n"/>
      <c r="J7" s="141" t="n"/>
      <c r="K7" s="137" t="n"/>
      <c r="L7" s="141" t="n"/>
      <c r="M7" s="141" t="n"/>
      <c r="N7" s="137" t="n"/>
      <c r="O7" s="137" t="n"/>
    </row>
    <row r="8" ht="15" customHeight="1" s="171">
      <c r="A8" s="142" t="inlineStr">
        <is>
          <t>Round 3</t>
        </is>
      </c>
      <c r="B8" s="143">
        <f>COUNTIF($L$12:$L$997,B$5)</f>
        <v/>
      </c>
      <c r="C8" s="143">
        <f>COUNTIF($L$12:$L$997,C$5)</f>
        <v/>
      </c>
      <c r="D8" s="143">
        <f>COUNTIF($L$12:$L$997,D$5)</f>
        <v/>
      </c>
      <c r="E8" s="144">
        <f>COUNTIF($L$12:$L$997,E$5)</f>
        <v/>
      </c>
      <c r="F8" s="141" t="n"/>
      <c r="G8" s="141" t="n"/>
      <c r="H8" s="137" t="n"/>
      <c r="I8" s="141" t="n"/>
      <c r="J8" s="141" t="n"/>
      <c r="K8" s="137" t="n"/>
      <c r="L8" s="141" t="n"/>
      <c r="M8" s="141" t="n"/>
      <c r="N8" s="137" t="n"/>
      <c r="O8" s="137" t="n"/>
    </row>
    <row r="9" ht="15" customHeight="1" s="171">
      <c r="A9" s="137" t="n"/>
      <c r="B9" s="137" t="n"/>
      <c r="C9" s="137" t="n"/>
      <c r="D9" s="137" t="n"/>
      <c r="E9" s="137" t="n"/>
      <c r="F9" s="119" t="n"/>
      <c r="G9" s="137" t="n"/>
      <c r="H9" s="137" t="n"/>
      <c r="I9" s="119" t="n"/>
      <c r="J9" s="137" t="n"/>
      <c r="K9" s="137" t="n"/>
      <c r="L9" s="119" t="n"/>
      <c r="M9" s="137" t="n"/>
      <c r="N9" s="137" t="n"/>
      <c r="O9" s="137" t="n"/>
    </row>
    <row r="10" ht="25.5" customHeight="1" s="171">
      <c r="A10" s="145" t="inlineStr">
        <is>
          <t>Test Case ID</t>
        </is>
      </c>
      <c r="B10" s="145" t="inlineStr">
        <is>
          <t>Test Case Description</t>
        </is>
      </c>
      <c r="C10" s="145" t="inlineStr">
        <is>
          <t>Test Case Procedure</t>
        </is>
      </c>
      <c r="D10" s="145" t="inlineStr">
        <is>
          <t>Expected Results</t>
        </is>
      </c>
      <c r="E10" s="145" t="inlineStr">
        <is>
          <t>Pre-conditions</t>
        </is>
      </c>
      <c r="F10" s="145" t="inlineStr">
        <is>
          <t>Round 1</t>
        </is>
      </c>
      <c r="G10" s="145" t="inlineStr">
        <is>
          <t>Test date</t>
        </is>
      </c>
      <c r="H10" s="145" t="inlineStr">
        <is>
          <t>Tester</t>
        </is>
      </c>
      <c r="I10" s="145" t="inlineStr">
        <is>
          <t>Round 2</t>
        </is>
      </c>
      <c r="J10" s="145" t="inlineStr">
        <is>
          <t>Test date</t>
        </is>
      </c>
      <c r="K10" s="145" t="inlineStr">
        <is>
          <t>Tester</t>
        </is>
      </c>
      <c r="L10" s="145" t="inlineStr">
        <is>
          <t>Round 3</t>
        </is>
      </c>
      <c r="M10" s="145" t="inlineStr">
        <is>
          <t>Test date</t>
        </is>
      </c>
      <c r="N10" s="145" t="inlineStr">
        <is>
          <t>Tester</t>
        </is>
      </c>
      <c r="O10" s="145" t="inlineStr">
        <is>
          <t>Note</t>
        </is>
      </c>
    </row>
    <row r="11" ht="15.75" customHeight="1" s="171">
      <c r="A11" s="148" t="inlineStr">
        <is>
          <t>System</t>
        </is>
      </c>
      <c r="B11" s="14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50" t="n"/>
    </row>
    <row r="12" ht="54" customHeight="1" s="171">
      <c r="A12" s="157" t="inlineStr">
        <is>
          <t>NFT-SEC-001</t>
        </is>
      </c>
      <c r="B12" s="168" t="inlineStr">
        <is>
          <t>Expired token rejected on all protected endpoints</t>
        </is>
      </c>
      <c r="C12" s="168" t="inlineStr">
        <is>
          <t>Expired access token</t>
        </is>
      </c>
      <c r="D12" s="161" t="inlineStr">
        <is>
          <t>Call protected endpoint</t>
        </is>
      </c>
      <c r="E12" s="162" t="inlineStr">
        <is>
          <t>401 Unauthorized</t>
        </is>
      </c>
      <c r="F12" s="157" t="inlineStr">
        <is>
          <t>Passed</t>
        </is>
      </c>
      <c r="G12" s="156" t="n">
        <v>46127</v>
      </c>
      <c r="H12" s="157" t="inlineStr">
        <is>
          <t>Nguyễn Nhật Phát</t>
        </is>
      </c>
      <c r="I12" s="157" t="inlineStr">
        <is>
          <t>Passed</t>
        </is>
      </c>
      <c r="J12" s="156" t="n">
        <v>46134</v>
      </c>
      <c r="K12" s="157" t="inlineStr">
        <is>
          <t>Nguyễn Trần Tấn Phát</t>
        </is>
      </c>
      <c r="L12" s="157" t="inlineStr">
        <is>
          <t>Passed</t>
        </is>
      </c>
      <c r="M12" s="156" t="n">
        <v>46141</v>
      </c>
      <c r="N12" s="157" t="inlineStr">
        <is>
          <t>Nguyễn Minh Khôi</t>
        </is>
      </c>
      <c r="O12" s="157" t="n"/>
    </row>
    <row r="13" ht="54" customHeight="1" s="171">
      <c r="A13" s="157" t="inlineStr">
        <is>
          <t>NFT-SEC-003</t>
        </is>
      </c>
      <c r="B13" s="157" t="inlineStr">
        <is>
          <t>Learner cannot access admin/staff API</t>
        </is>
      </c>
      <c r="C13" s="157" t="inlineStr">
        <is>
          <t>Learner token</t>
        </is>
      </c>
      <c r="D13" s="161" t="inlineStr">
        <is>
          <t>Call `admin/*` endpoints</t>
        </is>
      </c>
      <c r="E13" s="161" t="inlineStr">
        <is>
          <t>403</t>
        </is>
      </c>
      <c r="F13" s="157" t="inlineStr">
        <is>
          <t>Passed</t>
        </is>
      </c>
      <c r="G13" s="156" t="n">
        <v>46127</v>
      </c>
      <c r="H13" s="157" t="inlineStr">
        <is>
          <t>Nguyễn Trần Tấn Phát</t>
        </is>
      </c>
      <c r="I13" s="157" t="inlineStr">
        <is>
          <t>Passed</t>
        </is>
      </c>
      <c r="J13" s="156" t="n">
        <v>46134</v>
      </c>
      <c r="K13" s="157" t="inlineStr">
        <is>
          <t>Nguyễn Minh Khôi</t>
        </is>
      </c>
      <c r="L13" s="157" t="inlineStr">
        <is>
          <t>Passed</t>
        </is>
      </c>
      <c r="M13" s="156" t="n">
        <v>46141</v>
      </c>
      <c r="N13" s="157" t="inlineStr">
        <is>
          <t>Hoàng Văn Anh Nghĩa</t>
        </is>
      </c>
      <c r="O13" s="157" t="n"/>
    </row>
    <row r="14" ht="54" customHeight="1" s="171">
      <c r="A14" s="157" t="inlineStr">
        <is>
          <t>NFT-SEC-005</t>
        </is>
      </c>
      <c r="B14" s="157" t="inlineStr">
        <is>
          <t>User cannot access other user's profile</t>
        </is>
      </c>
      <c r="C14" s="157" t="inlineStr">
        <is>
          <t>Learner token for user A</t>
        </is>
      </c>
      <c r="D14" s="161" t="inlineStr">
        <is>
          <t>PATCH `profiles/{userB_profile_id}`</t>
        </is>
      </c>
      <c r="E14" s="161" t="inlineStr">
        <is>
          <t>403 or 404</t>
        </is>
      </c>
      <c r="F14" s="157" t="inlineStr">
        <is>
          <t>Passed</t>
        </is>
      </c>
      <c r="G14" s="156" t="n">
        <v>46127</v>
      </c>
      <c r="H14" s="157" t="inlineStr">
        <is>
          <t>Nguyễn Minh Khôi</t>
        </is>
      </c>
      <c r="I14" s="157" t="inlineStr">
        <is>
          <t>Passed</t>
        </is>
      </c>
      <c r="J14" s="156" t="n">
        <v>46134</v>
      </c>
      <c r="K14" s="157" t="inlineStr">
        <is>
          <t>Hoàng Văn Anh Nghĩa</t>
        </is>
      </c>
      <c r="L14" s="157" t="inlineStr">
        <is>
          <t>Passed</t>
        </is>
      </c>
      <c r="M14" s="156" t="n">
        <v>46141</v>
      </c>
      <c r="N14" s="157" t="inlineStr">
        <is>
          <t>Nguyễn Nhật Phát</t>
        </is>
      </c>
      <c r="O14" s="157" t="n"/>
    </row>
    <row r="15" ht="54" customHeight="1" s="171">
      <c r="A15" s="157" t="inlineStr">
        <is>
          <t>NFT-SEC-007</t>
        </is>
      </c>
      <c r="B15" s="157" t="inlineStr">
        <is>
          <t>Password not exposed in API responses</t>
        </is>
      </c>
      <c r="C15" s="157" t="inlineStr">
        <is>
          <t>Login response</t>
        </is>
      </c>
      <c r="D15" s="161" t="inlineStr">
        <is>
          <t>Inspect response body</t>
        </is>
      </c>
      <c r="E15" s="161" t="inlineStr">
        <is>
          <t>No password hash or raw password returned</t>
        </is>
      </c>
      <c r="F15" s="157" t="inlineStr">
        <is>
          <t>Passed</t>
        </is>
      </c>
      <c r="G15" s="156" t="n">
        <v>46127</v>
      </c>
      <c r="H15" s="157" t="inlineStr">
        <is>
          <t>Hoàng Văn Anh Nghĩa</t>
        </is>
      </c>
      <c r="I15" s="157" t="inlineStr">
        <is>
          <t>Passed</t>
        </is>
      </c>
      <c r="J15" s="156" t="n">
        <v>46134</v>
      </c>
      <c r="K15" s="157" t="inlineStr">
        <is>
          <t>Nguyễn Nhật Phát</t>
        </is>
      </c>
      <c r="L15" s="157" t="inlineStr">
        <is>
          <t>Passed</t>
        </is>
      </c>
      <c r="M15" s="156" t="n">
        <v>46141</v>
      </c>
      <c r="N15" s="157" t="inlineStr">
        <is>
          <t>Nguyễn Trần Tấn Phát</t>
        </is>
      </c>
      <c r="O15" s="157" t="n"/>
    </row>
    <row r="16" ht="54" customHeight="1" s="171">
      <c r="A16" s="157" t="inlineStr">
        <is>
          <t>NFT-SEC-011</t>
        </is>
      </c>
      <c r="B16" s="157" t="inlineStr">
        <is>
          <t>XSS prevented</t>
        </is>
      </c>
      <c r="C16" s="157" t="inlineStr">
        <is>
          <t>Writing/submission endpoints</t>
        </is>
      </c>
      <c r="D16" s="161" t="inlineStr">
        <is>
          <t>Input script tags in writing answer</t>
        </is>
      </c>
      <c r="E16" s="161" t="inlineStr">
        <is>
          <t>Script tags not rendered as HTML in result</t>
        </is>
      </c>
      <c r="F16" s="157" t="inlineStr">
        <is>
          <t>Passed</t>
        </is>
      </c>
      <c r="G16" s="156" t="n">
        <v>46127</v>
      </c>
      <c r="H16" s="157" t="inlineStr">
        <is>
          <t>Nguyễn Nhật Phát</t>
        </is>
      </c>
      <c r="I16" s="157" t="inlineStr">
        <is>
          <t>Passed</t>
        </is>
      </c>
      <c r="J16" s="156" t="n">
        <v>46134</v>
      </c>
      <c r="K16" s="157" t="inlineStr">
        <is>
          <t>Nguyễn Trần Tấn Phát</t>
        </is>
      </c>
      <c r="L16" s="157" t="inlineStr">
        <is>
          <t>Passed</t>
        </is>
      </c>
      <c r="M16" s="156" t="n">
        <v>46141</v>
      </c>
      <c r="N16" s="157" t="inlineStr">
        <is>
          <t>Nguyễn Minh Khôi</t>
        </is>
      </c>
      <c r="O16" s="157" t="n"/>
    </row>
    <row r="17" ht="54" customHeight="1" s="171">
      <c r="A17" s="157" t="inlineStr">
        <is>
          <t>NFT-PERF-001</t>
        </is>
      </c>
      <c r="B17" s="157" t="inlineStr">
        <is>
          <t>AI grading response/job accepted within 3 seconds</t>
        </is>
      </c>
      <c r="C17" s="157" t="inlineStr">
        <is>
          <t>Writing/speaking submission</t>
        </is>
      </c>
      <c r="D17" s="161" t="inlineStr">
        <is>
          <t>Submit and measure time to grading job creation</t>
        </is>
      </c>
      <c r="E17" s="161" t="inlineStr">
        <is>
          <t>Job created within 3 seconds of submission request</t>
        </is>
      </c>
      <c r="F17" s="157" t="inlineStr">
        <is>
          <t>Passed</t>
        </is>
      </c>
      <c r="G17" s="156" t="n">
        <v>46127</v>
      </c>
      <c r="H17" s="157" t="inlineStr">
        <is>
          <t>Nguyễn Trần Tấn Phát</t>
        </is>
      </c>
      <c r="I17" s="157" t="inlineStr">
        <is>
          <t>Passed</t>
        </is>
      </c>
      <c r="J17" s="156" t="n">
        <v>46134</v>
      </c>
      <c r="K17" s="157" t="inlineStr">
        <is>
          <t>Nguyễn Minh Khôi</t>
        </is>
      </c>
      <c r="L17" s="157" t="inlineStr">
        <is>
          <t>Passed</t>
        </is>
      </c>
      <c r="M17" s="156" t="n">
        <v>46141</v>
      </c>
      <c r="N17" s="157" t="inlineStr">
        <is>
          <t>Hoàng Văn Anh Nghĩa</t>
        </is>
      </c>
      <c r="O17" s="157" t="n"/>
    </row>
    <row r="18" ht="54" customHeight="1" s="171">
      <c r="A18" s="157" t="inlineStr">
        <is>
          <t>NFT-PERF-002</t>
        </is>
      </c>
      <c r="B18" s="157" t="inlineStr">
        <is>
          <t>API responses under 2 seconds for common endpoints</t>
        </is>
      </c>
      <c r="C18" s="157" t="inlineStr">
        <is>
          <t>Backend running, cached config</t>
        </is>
      </c>
      <c r="D18" s="161" t="inlineStr">
        <is>
          <t>Request exams, profile, dashboard endpoints</t>
        </is>
      </c>
      <c r="E18" s="161" t="inlineStr">
        <is>
          <t>Response time under 2 seconds</t>
        </is>
      </c>
      <c r="F18" s="157" t="inlineStr">
        <is>
          <t>Passed</t>
        </is>
      </c>
      <c r="G18" s="156" t="n">
        <v>46127</v>
      </c>
      <c r="H18" s="157" t="inlineStr">
        <is>
          <t>Nguyễn Minh Khôi</t>
        </is>
      </c>
      <c r="I18" s="157" t="inlineStr">
        <is>
          <t>Passed</t>
        </is>
      </c>
      <c r="J18" s="156" t="n">
        <v>46134</v>
      </c>
      <c r="K18" s="157" t="inlineStr">
        <is>
          <t>Hoàng Văn Anh Nghĩa</t>
        </is>
      </c>
      <c r="L18" s="157" t="inlineStr">
        <is>
          <t>Passed</t>
        </is>
      </c>
      <c r="M18" s="156" t="n">
        <v>46141</v>
      </c>
      <c r="N18" s="157" t="inlineStr">
        <is>
          <t>Nguyễn Nhật Phát</t>
        </is>
      </c>
      <c r="O18" s="157" t="n"/>
    </row>
    <row r="19" ht="54" customHeight="1" s="171">
      <c r="A19" s="157" t="inlineStr">
        <is>
          <t>NFT-COMP-001</t>
        </is>
      </c>
      <c r="B19" s="157" t="inlineStr">
        <is>
          <t>Learner web works on Chrome latest</t>
        </is>
      </c>
      <c r="C19" s="157" t="inlineStr">
        <is>
          <t>Chrome browser</t>
        </is>
      </c>
      <c r="D19" s="161" t="inlineStr">
        <is>
          <t>Open login, register, dashboard, exam room</t>
        </is>
      </c>
      <c r="E19" s="161" t="inlineStr">
        <is>
          <t>All pages render, forms work</t>
        </is>
      </c>
      <c r="F19" s="157" t="inlineStr">
        <is>
          <t>Passed</t>
        </is>
      </c>
      <c r="G19" s="156" t="n">
        <v>46127</v>
      </c>
      <c r="H19" s="157" t="inlineStr">
        <is>
          <t>Hoàng Văn Anh Nghĩa</t>
        </is>
      </c>
      <c r="I19" s="157" t="inlineStr">
        <is>
          <t>Passed</t>
        </is>
      </c>
      <c r="J19" s="156" t="n">
        <v>46134</v>
      </c>
      <c r="K19" s="157" t="inlineStr">
        <is>
          <t>Nguyễn Nhật Phát</t>
        </is>
      </c>
      <c r="L19" s="157" t="inlineStr">
        <is>
          <t>Passed</t>
        </is>
      </c>
      <c r="M19" s="156" t="n">
        <v>46141</v>
      </c>
      <c r="N19" s="157" t="inlineStr">
        <is>
          <t>Nguyễn Trần Tấn Phát</t>
        </is>
      </c>
      <c r="O19" s="157" t="n"/>
    </row>
    <row r="20" ht="54" customHeight="1" s="171">
      <c r="A20" s="157" t="inlineStr">
        <is>
          <t>NFT-USE-003</t>
        </is>
      </c>
      <c r="B20" s="157" t="inlineStr">
        <is>
          <t>Exam room exit confirmation protects accidental exit</t>
        </is>
      </c>
      <c r="C20" s="157" t="inlineStr">
        <is>
          <t>Active exam</t>
        </is>
      </c>
      <c r="D20" s="161" t="inlineStr">
        <is>
          <t>Click exit during exam</t>
        </is>
      </c>
      <c r="E20" s="161" t="inlineStr">
        <is>
          <t>Confirmation dialog with countdown before exiting</t>
        </is>
      </c>
      <c r="F20" s="157" t="inlineStr">
        <is>
          <t>Passed</t>
        </is>
      </c>
      <c r="G20" s="156" t="n">
        <v>46127</v>
      </c>
      <c r="H20" s="157" t="inlineStr">
        <is>
          <t>Nguyễn Nhật Phát</t>
        </is>
      </c>
      <c r="I20" s="157" t="inlineStr">
        <is>
          <t>Passed</t>
        </is>
      </c>
      <c r="J20" s="156" t="n">
        <v>46134</v>
      </c>
      <c r="K20" s="157" t="inlineStr">
        <is>
          <t>Nguyễn Trần Tấn Phát</t>
        </is>
      </c>
      <c r="L20" s="157" t="inlineStr">
        <is>
          <t>Passed</t>
        </is>
      </c>
      <c r="M20" s="156" t="n">
        <v>46141</v>
      </c>
      <c r="N20" s="157" t="inlineStr">
        <is>
          <t>Nguyễn Minh Khôi</t>
        </is>
      </c>
      <c r="O20" s="157" t="n"/>
    </row>
    <row r="21" ht="54" customHeight="1" s="171">
      <c r="A21" s="157" t="inlineStr">
        <is>
          <t>NFT-USE-005</t>
        </is>
      </c>
      <c r="B21" s="157" t="inlineStr">
        <is>
          <t>Empty states are informative</t>
        </is>
      </c>
      <c r="C21" s="157" t="inlineStr">
        <is>
          <t>Empty list pages</t>
        </is>
      </c>
      <c r="D21" s="161" t="inlineStr">
        <is>
          <t>Open empty vocab, grammar, submitted exams</t>
        </is>
      </c>
      <c r="E21" s="161" t="inlineStr">
        <is>
          <t>Informative message and CTA visible</t>
        </is>
      </c>
      <c r="F21" s="157" t="inlineStr">
        <is>
          <t>Passed</t>
        </is>
      </c>
      <c r="G21" s="156" t="n">
        <v>46127</v>
      </c>
      <c r="H21" s="157" t="inlineStr">
        <is>
          <t>Nguyễn Trần Tấn Phát</t>
        </is>
      </c>
      <c r="I21" s="157" t="inlineStr">
        <is>
          <t>Passed</t>
        </is>
      </c>
      <c r="J21" s="156" t="n">
        <v>46134</v>
      </c>
      <c r="K21" s="157" t="inlineStr">
        <is>
          <t>Nguyễn Minh Khôi</t>
        </is>
      </c>
      <c r="L21" s="157" t="inlineStr">
        <is>
          <t>Passed</t>
        </is>
      </c>
      <c r="M21" s="156" t="n">
        <v>46141</v>
      </c>
      <c r="N21" s="157" t="inlineStr">
        <is>
          <t>Hoàng Văn Anh Nghĩa</t>
        </is>
      </c>
      <c r="O21" s="157" t="n"/>
    </row>
    <row r="22" ht="54" customHeight="1" s="171">
      <c r="A22" s="157" t="inlineStr">
        <is>
          <t>NFT-REL-001</t>
        </is>
      </c>
      <c r="B22" s="157" t="inlineStr">
        <is>
          <t>Data consistency after exam submit</t>
        </is>
      </c>
      <c r="C22" s="157" t="inlineStr">
        <is>
          <t>Submit exam</t>
        </is>
      </c>
      <c r="D22" s="161" t="inlineStr">
        <is>
          <t>Refresh page, check result via API</t>
        </is>
      </c>
      <c r="E22" s="161" t="inlineStr">
        <is>
          <t>Same score and details returned consistently</t>
        </is>
      </c>
      <c r="F22" s="157" t="inlineStr">
        <is>
          <t>Passed</t>
        </is>
      </c>
      <c r="G22" s="156" t="n">
        <v>46127</v>
      </c>
      <c r="H22" s="157" t="inlineStr">
        <is>
          <t>Nguyễn Minh Khôi</t>
        </is>
      </c>
      <c r="I22" s="157" t="inlineStr">
        <is>
          <t>Passed</t>
        </is>
      </c>
      <c r="J22" s="156" t="n">
        <v>46134</v>
      </c>
      <c r="K22" s="157" t="inlineStr">
        <is>
          <t>Hoàng Văn Anh Nghĩa</t>
        </is>
      </c>
      <c r="L22" s="157" t="inlineStr">
        <is>
          <t>Passed</t>
        </is>
      </c>
      <c r="M22" s="156" t="n">
        <v>46141</v>
      </c>
      <c r="N22" s="157" t="inlineStr">
        <is>
          <t>Nguyễn Nhật Phát</t>
        </is>
      </c>
      <c r="O22" s="157" t="n"/>
    </row>
    <row r="23" ht="54" customHeight="1" s="171">
      <c r="A23" s="157" t="inlineStr">
        <is>
          <t>NFT-REL-002</t>
        </is>
      </c>
      <c r="B23" s="157" t="inlineStr">
        <is>
          <t>Draft save survives page crash simulation</t>
        </is>
      </c>
      <c r="C23" s="157" t="inlineStr">
        <is>
          <t>Active exam with answers</t>
        </is>
      </c>
      <c r="D23" s="161" t="inlineStr">
        <is>
          <t>Close tab during exam, reopen</t>
        </is>
      </c>
      <c r="E23" s="161" t="inlineStr">
        <is>
          <t>Draft restored from last autosave</t>
        </is>
      </c>
      <c r="F23" s="157" t="inlineStr">
        <is>
          <t>Passed</t>
        </is>
      </c>
      <c r="G23" s="156" t="n">
        <v>46127</v>
      </c>
      <c r="H23" s="157" t="inlineStr">
        <is>
          <t>Hoàng Văn Anh Nghĩa</t>
        </is>
      </c>
      <c r="I23" s="157" t="inlineStr">
        <is>
          <t>Passed</t>
        </is>
      </c>
      <c r="J23" s="156" t="n">
        <v>46134</v>
      </c>
      <c r="K23" s="157" t="inlineStr">
        <is>
          <t>Nguyễn Nhật Phát</t>
        </is>
      </c>
      <c r="L23" s="157" t="inlineStr">
        <is>
          <t>Passed</t>
        </is>
      </c>
      <c r="M23" s="156" t="n">
        <v>46141</v>
      </c>
      <c r="N23" s="157" t="inlineStr">
        <is>
          <t>Nguyễn Trần Tấn Phát</t>
        </is>
      </c>
      <c r="O23" s="157" t="n"/>
    </row>
  </sheetData>
  <mergeCells count="3">
    <mergeCell ref="B3:E3"/>
    <mergeCell ref="B2:E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2026-05-29T14:36:02Z</dcterms:modified>
</cp:coreProperties>
</file>